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andeep.panda03/Downloads/"/>
    </mc:Choice>
  </mc:AlternateContent>
  <xr:revisionPtr revIDLastSave="0" documentId="13_ncr:1_{81697348-0F8E-B542-B4D7-536DBB3D603E}" xr6:coauthVersionLast="47" xr6:coauthVersionMax="47" xr10:uidLastSave="{00000000-0000-0000-0000-000000000000}"/>
  <bookViews>
    <workbookView xWindow="0" yWindow="660" windowWidth="15140" windowHeight="17200" firstSheet="5" activeTab="6" xr2:uid="{00000000-000D-0000-FFFF-FFFF00000000}"/>
  </bookViews>
  <sheets>
    <sheet name="Road 1 - IBMD Sarpa MRP Interna" sheetId="1" r:id="rId1"/>
    <sheet name="Road 2 - PSW Approach Roads" sheetId="2" r:id="rId2"/>
    <sheet name="Road 3 - SMS2 Ramp Side" sheetId="3" r:id="rId3"/>
    <sheet name="Road 4 - SMS2 Briquetting Side" sheetId="4" r:id="rId4"/>
    <sheet name="Road 5 - RMPP Emer Feeding shed" sheetId="5" r:id="rId5"/>
    <sheet name="Road 6 - RMPP Emergency Feeding" sheetId="6" r:id="rId6"/>
    <sheet name="Road 7 - RMPP Coal Shed-2" sheetId="7" r:id="rId7"/>
    <sheet name="Road 8 - RMHS Coking Coal Yard" sheetId="8" r:id="rId8"/>
    <sheet name="Road 9 - BF2 Ramp Area" sheetId="9" r:id="rId9"/>
    <sheet name="Road 10 - BF2 Bin Building" sheetId="10" r:id="rId10"/>
    <sheet name="Road 11 - CMM SMS1 Assembly" sheetId="11" r:id="rId11"/>
    <sheet name="Road 12 - CMM SMS1 Machine Shop" sheetId="12" r:id="rId12"/>
    <sheet name="Road 13 - Torpedo Rail Track" sheetId="13" r:id="rId13"/>
    <sheet name="Road 14 - HSM Gate16" sheetId="14" r:id="rId14"/>
    <sheet name="Road 15 - RMPP Rail Siding" sheetId="15" r:id="rId15"/>
    <sheet name="Road 16 - Sales Yard MRP" sheetId="16" r:id="rId16"/>
    <sheet name="Road 17 - Slag Yard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<sst xmlns="http://schemas.openxmlformats.org/spreadsheetml/2006/main" count="566" uniqueCount="84">
  <si>
    <t>Sl No</t>
  </si>
  <si>
    <t>Description of Job</t>
  </si>
  <si>
    <t>Unit</t>
  </si>
  <si>
    <t>Quantity</t>
  </si>
  <si>
    <t>Start Date</t>
  </si>
  <si>
    <t>End Date</t>
  </si>
  <si>
    <t>Six Party Clearance</t>
  </si>
  <si>
    <t>Job</t>
  </si>
  <si>
    <t>01-Apr-2027</t>
  </si>
  <si>
    <t>31-Mar-2028</t>
  </si>
  <si>
    <t>Excavation</t>
  </si>
  <si>
    <t>Cum</t>
  </si>
  <si>
    <t>Soil Disposal</t>
  </si>
  <si>
    <t>GSB</t>
  </si>
  <si>
    <t>WMM</t>
  </si>
  <si>
    <t>DLC</t>
  </si>
  <si>
    <t>RCC Drain</t>
  </si>
  <si>
    <t>Rmt</t>
  </si>
  <si>
    <t>PCC</t>
  </si>
  <si>
    <t>RCC</t>
  </si>
  <si>
    <t>Shuttering</t>
  </si>
  <si>
    <t>Sqm</t>
  </si>
  <si>
    <t>Reinforcement</t>
  </si>
  <si>
    <t>MT</t>
  </si>
  <si>
    <t>Angle Fixing</t>
  </si>
  <si>
    <t>Paver Laying</t>
  </si>
  <si>
    <t>Handover</t>
  </si>
  <si>
    <t>Bitumen Paint</t>
  </si>
  <si>
    <t>Dismantling</t>
  </si>
  <si>
    <t>Profile correction</t>
  </si>
  <si>
    <t>RCC(reinforcemnt+shutering)</t>
  </si>
  <si>
    <t>Kerb wall</t>
  </si>
  <si>
    <t>RMT</t>
  </si>
  <si>
    <t>Salitex board</t>
  </si>
  <si>
    <t>BF-2 Ramp Area(80x7 Mtr) Concrete Road</t>
  </si>
  <si>
    <t>CUM</t>
  </si>
  <si>
    <t>RMHS Coking Coal Yard-12 Road (105x7 ) Concrete Road</t>
  </si>
  <si>
    <t>Kerb Wall</t>
  </si>
  <si>
    <t>Shalitex Board</t>
  </si>
  <si>
    <t>Vendor Name- Chhaya Trader</t>
  </si>
  <si>
    <t>Line Manger-Lalit Swain</t>
  </si>
  <si>
    <t>Subgrade Preparation</t>
  </si>
  <si>
    <t>CSqmt</t>
  </si>
  <si>
    <t>Subgrade preparation</t>
  </si>
  <si>
    <t>Kerbwall</t>
  </si>
  <si>
    <t>MTR</t>
  </si>
  <si>
    <t>Mtr</t>
  </si>
  <si>
    <t>Levelling &amp;Dressing</t>
  </si>
  <si>
    <t>SQM</t>
  </si>
  <si>
    <t>Sqmt</t>
  </si>
  <si>
    <t>Salitex Board</t>
  </si>
  <si>
    <t>SQm</t>
  </si>
  <si>
    <t>20 Mtr excavation Pending</t>
  </si>
  <si>
    <t>Dismentalling of Paver</t>
  </si>
  <si>
    <t>BF-2 Ramp Area(80x7 Mtr) Concrete Road Manager- S.Parida Vendor-Jagdish techno venture</t>
  </si>
  <si>
    <t>RMPP Rail siding area(400x7) Paver Road-Balaji Construction-Manager-Bibhrat Das</t>
  </si>
  <si>
    <t>Levelling and Dressing</t>
  </si>
  <si>
    <t>Sqmr</t>
  </si>
  <si>
    <t>Slag Yard(155x7.0) vendor- Balaji Construction Manager- Subhashih Parida-Concrete Road</t>
  </si>
  <si>
    <t>Steel</t>
  </si>
  <si>
    <t xml:space="preserve">Angle </t>
  </si>
  <si>
    <t>10-10-206</t>
  </si>
  <si>
    <t>Remarks-:02-11-2026</t>
  </si>
  <si>
    <t>Drain</t>
  </si>
  <si>
    <t>IBMD Sarpa MRP- Internal Road/Sarpa Road &amp; Culvert(400x8) Paver Road Vendor GSPL Manager- Bibhrat Das</t>
  </si>
  <si>
    <t>PSW peripherals roads/PSW Approach roads(400x 10) Vendor- Balaji Construction Manager- Bibhrat Das</t>
  </si>
  <si>
    <t>Vegitation clearance</t>
  </si>
  <si>
    <t>No</t>
  </si>
  <si>
    <t>Road Diversion(Heap Cutting/Temp Road )</t>
  </si>
  <si>
    <t>RCC RoAD</t>
  </si>
  <si>
    <t>Note - Out off 320 panel only 10 panel can be received clearance at a time . After curing period of 14 day the clearance for next panel will be avaialbel</t>
  </si>
  <si>
    <t xml:space="preserve">So the total time taken will be =32x14=448 day get ideal for the Job. Job will performed for anaterh 32x10= 320 day </t>
  </si>
  <si>
    <t xml:space="preserve">Total </t>
  </si>
  <si>
    <t>SMS-2 Kamag movement at BOF &amp; Conarc/Ramp side(200x16) vendor- Jagdish Techno Venture  Manger- Bibhrat Das</t>
  </si>
  <si>
    <t>SMS-2 Kamag movement at BOF &amp; Conarc/Briquetting Plant side Vendor Name :- GSPL Manager :- Bibhrat Das</t>
  </si>
  <si>
    <t>Sales Yard -LD Gas holder to MRP(110x14) Paver Vendro - GSPL- Manager- Bibhrat Das</t>
  </si>
  <si>
    <t>RMPP Emergency feeding shed(480x7),Kerbwall - 900 Mtr, Concrete Road vendor name - Jagdish Techno Venture Manager:- Lalit Swain</t>
  </si>
  <si>
    <t>RMPP Emergency feeding Area(108x7 Mtr) Concrete road vendor name - Jagdish Techno Venture Manager:- Lalit Swain</t>
  </si>
  <si>
    <t>BF-2 Bin Building-Paver Road(170x6) Drain -80 Mtr,Culvert-15 RMT vendor name:- Balaji Construction Manager:- S.Parida</t>
  </si>
  <si>
    <t>CMM SMS-1 Assembly Shop( 200x6 mtr)  vendor Name :- Chhaya Trader manager :- Saroj Biswal</t>
  </si>
  <si>
    <t>CMM SMS-1 Machine Shop(297x8 Mtr) Concrete Road Drain - 100 MTr Culvert-3 nos vendor Name :- Chhaya Trader manager :- Saroj Biswal</t>
  </si>
  <si>
    <t>SMS-2 Beside Torpedo rail track at Conarc(100X4) Concrete road manager- Lalit swain vendor :-  Chhaya Trader</t>
  </si>
  <si>
    <t>HSM Peripheral area/Gate-16 Coil Yard Road(100x8) Concrete Road Vendor:- GSPL Manager :- Bibhrat Das</t>
  </si>
  <si>
    <t>RMPP/PCI Coal Shed-2(250x7) Vendor- GSPL Concrete Road-Kerb wall 450 Mtr Manager :- Lalit Swain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</si>
</sst>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6" fillId="0" borderId="2" xfId="0" applyFont="1" applyBorder="1"/>
    <xf numFmtId="15" fontId="0" fillId="0" borderId="1" xfId="0" applyNumberFormat="1" applyBorder="1"/>
    <xf numFmtId="14" fontId="0" fillId="0" borderId="1" xfId="0" applyNumberFormat="1" applyBorder="1"/>
    <xf numFmtId="0" fontId="7" fillId="0" borderId="1" xfId="0" applyFont="1" applyBorder="1"/>
    <xf numFmtId="0" fontId="0" fillId="0" borderId="3" xfId="0" applyBorder="1"/>
    <xf numFmtId="0" fontId="6" fillId="0" borderId="1" xfId="0" applyFont="1" applyBorder="1"/>
    <xf numFmtId="0" fontId="4" fillId="0" borderId="0" xfId="0" applyFont="1"/>
    <xf numFmtId="0" fontId="0" fillId="3" borderId="0" xfId="0" applyFill="1"/>
    <xf numFmtId="0" fontId="5" fillId="4" borderId="0" xfId="0" applyFont="1" applyFill="1"/>
    <xf numFmtId="14" fontId="5" fillId="0" borderId="0" xfId="0" applyNumberFormat="1" applyFont="1"/>
    <xf numFmtId="14" fontId="7" fillId="0" borderId="1" xfId="0" applyNumberFormat="1" applyFont="1" applyBorder="1"/>
    <xf numFmtId="0" fontId="6" fillId="0" borderId="6" xfId="0" applyFont="1" applyBorder="1"/>
    <xf numFmtId="0" fontId="3" fillId="0" borderId="0" xfId="0" applyFont="1"/>
    <xf numFmtId="0" fontId="8" fillId="5" borderId="7" xfId="0" applyFont="1" applyFill="1" applyBorder="1"/>
    <xf numFmtId="0" fontId="8" fillId="5" borderId="5" xfId="0" applyFont="1" applyFill="1" applyBorder="1"/>
    <xf numFmtId="0" fontId="0" fillId="5" borderId="0" xfId="0" applyFill="1"/>
    <xf numFmtId="0" fontId="8" fillId="5" borderId="1" xfId="0" applyFont="1" applyFill="1" applyBorder="1"/>
    <xf numFmtId="0" fontId="0" fillId="5" borderId="1" xfId="0" applyFill="1" applyBorder="1"/>
    <xf numFmtId="0" fontId="5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1" fillId="6" borderId="1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15"/>
  <sheetViews>
    <sheetView workbookViewId="0">
      <selection activeCell="H10" sqref="H10"/>
    </sheetView>
  </sheetViews>
  <sheetFormatPr baseColWidth="10" defaultColWidth="8.83203125" defaultRowHeight="15" x14ac:dyDescent="0.2"/>
  <cols>
    <col min="2" max="2" width="21" customWidth="1"/>
    <col min="4" max="4" width="10.6640625" customWidth="1"/>
    <col min="5" max="5" width="19.33203125" customWidth="1"/>
    <col min="6" max="6" width="22.5" customWidth="1"/>
  </cols>
  <sheetData>
    <row r="1" spans="1:8" x14ac:dyDescent="0.2">
      <c r="A1" s="34" t="s">
        <v>64</v>
      </c>
      <c r="B1" s="34"/>
      <c r="C1" s="34"/>
      <c r="D1" s="34"/>
      <c r="E1" s="34"/>
      <c r="F1" s="34"/>
      <c r="G1" s="21"/>
      <c r="H1" s="21"/>
    </row>
    <row r="2" spans="1:8" x14ac:dyDescent="0.2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</row>
    <row r="3" spans="1:8" x14ac:dyDescent="0.2">
      <c r="A3" s="23">
        <v>1</v>
      </c>
      <c r="B3" s="23" t="s">
        <v>6</v>
      </c>
      <c r="C3" s="23" t="s">
        <v>7</v>
      </c>
      <c r="D3" s="23">
        <v>1</v>
      </c>
      <c r="E3" s="23" t="s">
        <v>61</v>
      </c>
      <c r="F3" s="24">
        <v>46325</v>
      </c>
    </row>
    <row r="4" spans="1:8" x14ac:dyDescent="0.2">
      <c r="A4" s="23">
        <v>2</v>
      </c>
      <c r="B4" s="23" t="s">
        <v>10</v>
      </c>
      <c r="C4" s="23" t="s">
        <v>11</v>
      </c>
      <c r="D4" s="23">
        <v>3200</v>
      </c>
      <c r="E4" s="24">
        <v>46328</v>
      </c>
      <c r="F4" s="24">
        <v>46386</v>
      </c>
    </row>
    <row r="5" spans="1:8" x14ac:dyDescent="0.2">
      <c r="A5" s="23">
        <v>3</v>
      </c>
      <c r="B5" s="23" t="s">
        <v>12</v>
      </c>
      <c r="C5" s="23" t="s">
        <v>11</v>
      </c>
      <c r="D5" s="23">
        <v>3200</v>
      </c>
      <c r="E5" s="24">
        <v>46328</v>
      </c>
      <c r="F5" s="24">
        <v>46386</v>
      </c>
    </row>
    <row r="6" spans="1:8" x14ac:dyDescent="0.2">
      <c r="A6" s="23">
        <v>4</v>
      </c>
      <c r="B6" s="23" t="s">
        <v>41</v>
      </c>
      <c r="C6" s="23" t="s">
        <v>21</v>
      </c>
      <c r="D6" s="23">
        <v>3200</v>
      </c>
      <c r="E6" s="24">
        <v>46391</v>
      </c>
      <c r="F6" s="24">
        <v>46399</v>
      </c>
    </row>
    <row r="7" spans="1:8" x14ac:dyDescent="0.2">
      <c r="A7" s="23">
        <v>5</v>
      </c>
      <c r="B7" s="23" t="s">
        <v>13</v>
      </c>
      <c r="C7" s="23" t="s">
        <v>11</v>
      </c>
      <c r="D7" s="23">
        <v>1120</v>
      </c>
      <c r="E7" s="24">
        <v>46400</v>
      </c>
      <c r="F7" s="24">
        <v>46446</v>
      </c>
    </row>
    <row r="8" spans="1:8" x14ac:dyDescent="0.2">
      <c r="A8" s="23">
        <v>6</v>
      </c>
      <c r="B8" s="23" t="s">
        <v>14</v>
      </c>
      <c r="C8" s="23" t="s">
        <v>11</v>
      </c>
      <c r="D8" s="23">
        <v>480</v>
      </c>
      <c r="E8" s="24">
        <v>46443</v>
      </c>
      <c r="F8" s="24">
        <v>46476</v>
      </c>
    </row>
    <row r="9" spans="1:8" x14ac:dyDescent="0.2">
      <c r="A9" s="23">
        <v>7</v>
      </c>
      <c r="B9" s="23" t="s">
        <v>15</v>
      </c>
      <c r="C9" s="23" t="s">
        <v>11</v>
      </c>
      <c r="D9" s="23">
        <v>480</v>
      </c>
      <c r="E9" s="24">
        <v>46468</v>
      </c>
      <c r="F9" s="24">
        <v>46482</v>
      </c>
    </row>
    <row r="10" spans="1:8" x14ac:dyDescent="0.2">
      <c r="A10" s="23">
        <v>8</v>
      </c>
      <c r="B10" s="23" t="s">
        <v>16</v>
      </c>
      <c r="C10" s="23" t="s">
        <v>17</v>
      </c>
      <c r="D10" s="23">
        <v>400</v>
      </c>
      <c r="E10" s="23" t="s">
        <v>8</v>
      </c>
      <c r="F10" s="23" t="s">
        <v>9</v>
      </c>
    </row>
    <row r="11" spans="1:8" x14ac:dyDescent="0.2">
      <c r="A11" s="23">
        <v>9</v>
      </c>
      <c r="B11" s="23" t="s">
        <v>25</v>
      </c>
      <c r="C11" s="23" t="s">
        <v>21</v>
      </c>
      <c r="D11" s="23">
        <v>3200</v>
      </c>
      <c r="E11" s="24">
        <v>46478</v>
      </c>
      <c r="F11" s="24">
        <v>46568</v>
      </c>
    </row>
    <row r="12" spans="1:8" x14ac:dyDescent="0.2">
      <c r="A12" s="23">
        <v>10</v>
      </c>
      <c r="B12" s="23" t="s">
        <v>31</v>
      </c>
      <c r="C12" s="23" t="s">
        <v>32</v>
      </c>
      <c r="D12" s="23">
        <v>1</v>
      </c>
      <c r="E12" s="24">
        <v>46553</v>
      </c>
      <c r="F12" s="24">
        <v>46598</v>
      </c>
    </row>
    <row r="13" spans="1:8" x14ac:dyDescent="0.2">
      <c r="A13" s="23">
        <v>11</v>
      </c>
      <c r="B13" s="23" t="s">
        <v>63</v>
      </c>
      <c r="C13" s="23" t="s">
        <v>32</v>
      </c>
      <c r="D13" s="23">
        <v>400</v>
      </c>
      <c r="E13" s="24">
        <v>46419</v>
      </c>
      <c r="F13" s="24">
        <v>46537</v>
      </c>
    </row>
    <row r="15" spans="1:8" x14ac:dyDescent="0.2">
      <c r="A15" t="s">
        <v>62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F19"/>
  <sheetViews>
    <sheetView workbookViewId="0">
      <selection activeCell="K12" sqref="K12"/>
    </sheetView>
  </sheetViews>
  <sheetFormatPr baseColWidth="10" defaultColWidth="8.83203125" defaultRowHeight="15" x14ac:dyDescent="0.2"/>
  <cols>
    <col min="1" max="1" width="6.6640625" customWidth="1"/>
    <col min="2" max="2" width="19.5" customWidth="1"/>
    <col min="3" max="3" width="11.5" customWidth="1"/>
    <col min="5" max="5" width="11.1640625" bestFit="1" customWidth="1"/>
    <col min="6" max="6" width="20.33203125" customWidth="1"/>
  </cols>
  <sheetData>
    <row r="1" spans="1:6" x14ac:dyDescent="0.2">
      <c r="A1" s="35" t="s">
        <v>65</v>
      </c>
      <c r="B1" s="35"/>
      <c r="C1" s="35"/>
      <c r="D1" s="35"/>
      <c r="E1" s="35"/>
      <c r="F1" s="35"/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>
        <v>1</v>
      </c>
      <c r="B3" s="2" t="s">
        <v>66</v>
      </c>
      <c r="C3" s="2" t="s">
        <v>67</v>
      </c>
      <c r="D3" s="2">
        <v>1</v>
      </c>
      <c r="E3" s="5">
        <v>46293</v>
      </c>
      <c r="F3" s="5">
        <v>46295</v>
      </c>
    </row>
    <row r="4" spans="1:6" x14ac:dyDescent="0.2">
      <c r="A4" s="2">
        <v>2</v>
      </c>
      <c r="B4" s="2" t="s">
        <v>6</v>
      </c>
      <c r="C4" s="2" t="s">
        <v>7</v>
      </c>
      <c r="D4" s="2">
        <v>1</v>
      </c>
      <c r="E4" s="5">
        <v>46296</v>
      </c>
      <c r="F4" s="5">
        <v>46305</v>
      </c>
    </row>
    <row r="5" spans="1:6" ht="32" x14ac:dyDescent="0.2">
      <c r="A5" s="2">
        <v>3</v>
      </c>
      <c r="B5" s="25" t="s">
        <v>68</v>
      </c>
      <c r="C5" s="2" t="s">
        <v>32</v>
      </c>
      <c r="D5" s="2">
        <v>1</v>
      </c>
      <c r="E5" s="5">
        <v>46307</v>
      </c>
      <c r="F5" s="5">
        <v>46326</v>
      </c>
    </row>
    <row r="6" spans="1:6" x14ac:dyDescent="0.2">
      <c r="A6" s="2">
        <v>3</v>
      </c>
      <c r="B6" s="2" t="s">
        <v>10</v>
      </c>
      <c r="C6" s="2" t="s">
        <v>11</v>
      </c>
      <c r="D6" s="2">
        <v>20000</v>
      </c>
      <c r="E6" s="5">
        <v>46328</v>
      </c>
      <c r="F6" s="5">
        <v>46446</v>
      </c>
    </row>
    <row r="7" spans="1:6" x14ac:dyDescent="0.2">
      <c r="A7" s="2">
        <v>4</v>
      </c>
      <c r="B7" s="2" t="s">
        <v>12</v>
      </c>
      <c r="C7" s="2" t="s">
        <v>11</v>
      </c>
      <c r="D7" s="2">
        <v>20000</v>
      </c>
      <c r="E7" s="5">
        <v>46328</v>
      </c>
      <c r="F7" s="5">
        <v>46446</v>
      </c>
    </row>
    <row r="8" spans="1:6" x14ac:dyDescent="0.2">
      <c r="A8" s="2">
        <v>5</v>
      </c>
      <c r="B8" s="2" t="s">
        <v>13</v>
      </c>
      <c r="C8" s="2" t="s">
        <v>11</v>
      </c>
      <c r="D8" s="2">
        <v>2800</v>
      </c>
      <c r="E8" s="5">
        <v>46402</v>
      </c>
      <c r="F8" s="5">
        <v>46461</v>
      </c>
    </row>
    <row r="9" spans="1:6" x14ac:dyDescent="0.2">
      <c r="A9" s="2">
        <v>6</v>
      </c>
      <c r="B9" s="2" t="s">
        <v>14</v>
      </c>
      <c r="C9" s="2" t="s">
        <v>11</v>
      </c>
      <c r="D9" s="2">
        <v>1200</v>
      </c>
      <c r="E9" s="5">
        <v>46419</v>
      </c>
      <c r="F9" s="5">
        <v>46476</v>
      </c>
    </row>
    <row r="10" spans="1:6" x14ac:dyDescent="0.2">
      <c r="A10" s="2">
        <v>7</v>
      </c>
      <c r="B10" s="2" t="s">
        <v>15</v>
      </c>
      <c r="C10" s="2" t="s">
        <v>11</v>
      </c>
      <c r="D10" s="2">
        <v>1200</v>
      </c>
      <c r="E10" s="5">
        <v>46433</v>
      </c>
      <c r="F10" s="5">
        <v>46492</v>
      </c>
    </row>
    <row r="11" spans="1:6" x14ac:dyDescent="0.2">
      <c r="A11" s="2">
        <v>8</v>
      </c>
      <c r="B11" s="2" t="s">
        <v>16</v>
      </c>
      <c r="C11" s="2" t="s">
        <v>17</v>
      </c>
      <c r="D11" s="2">
        <v>900</v>
      </c>
      <c r="E11" s="5">
        <v>46328</v>
      </c>
      <c r="F11" s="5">
        <v>46507</v>
      </c>
    </row>
    <row r="12" spans="1:6" x14ac:dyDescent="0.2">
      <c r="A12" s="2">
        <v>9</v>
      </c>
      <c r="B12" s="2" t="s">
        <v>69</v>
      </c>
      <c r="C12" s="2" t="s">
        <v>11</v>
      </c>
      <c r="D12" s="2">
        <v>2840</v>
      </c>
      <c r="E12" s="5">
        <v>46492</v>
      </c>
      <c r="F12" s="5">
        <v>46630</v>
      </c>
    </row>
    <row r="13" spans="1:6" x14ac:dyDescent="0.2">
      <c r="A13" s="2">
        <v>10</v>
      </c>
      <c r="B13" s="2" t="s">
        <v>20</v>
      </c>
      <c r="C13" s="2" t="s">
        <v>21</v>
      </c>
      <c r="D13" s="2">
        <v>6528</v>
      </c>
      <c r="E13" s="5">
        <v>46492</v>
      </c>
      <c r="F13" s="5">
        <v>46630</v>
      </c>
    </row>
    <row r="14" spans="1:6" x14ac:dyDescent="0.2">
      <c r="A14" s="2">
        <v>11</v>
      </c>
      <c r="B14" s="2" t="s">
        <v>22</v>
      </c>
      <c r="C14" s="2" t="s">
        <v>23</v>
      </c>
      <c r="D14" s="2">
        <v>148</v>
      </c>
      <c r="E14" s="5">
        <v>46492</v>
      </c>
      <c r="F14" s="5">
        <v>46630</v>
      </c>
    </row>
    <row r="15" spans="1:6" x14ac:dyDescent="0.2">
      <c r="A15" s="2">
        <v>12</v>
      </c>
      <c r="B15" s="2" t="s">
        <v>24</v>
      </c>
      <c r="C15" s="2" t="s">
        <v>23</v>
      </c>
      <c r="D15" s="2">
        <v>8.1999999999999993</v>
      </c>
      <c r="E15" s="5">
        <v>46492</v>
      </c>
      <c r="F15" s="5">
        <v>46630</v>
      </c>
    </row>
    <row r="16" spans="1:6" x14ac:dyDescent="0.2">
      <c r="A16" s="2">
        <v>13</v>
      </c>
      <c r="B16" s="2" t="s">
        <v>27</v>
      </c>
      <c r="C16" s="2" t="s">
        <v>21</v>
      </c>
      <c r="D16" s="2">
        <v>700</v>
      </c>
      <c r="E16" s="5">
        <v>46492</v>
      </c>
      <c r="F16" s="5">
        <v>46630</v>
      </c>
    </row>
    <row r="17" spans="1:6" x14ac:dyDescent="0.2">
      <c r="A17" s="2">
        <v>14</v>
      </c>
      <c r="B17" s="2" t="s">
        <v>63</v>
      </c>
      <c r="C17" s="2" t="s">
        <v>46</v>
      </c>
      <c r="D17" s="2">
        <v>400</v>
      </c>
      <c r="E17" s="2" t="s">
        <v>8</v>
      </c>
      <c r="F17" s="2" t="s">
        <v>9</v>
      </c>
    </row>
    <row r="18" spans="1:6" x14ac:dyDescent="0.2">
      <c r="A18" s="2">
        <v>15</v>
      </c>
      <c r="B18" s="2" t="s">
        <v>50</v>
      </c>
      <c r="C18" s="2" t="s">
        <v>49</v>
      </c>
      <c r="D18" s="2">
        <v>52</v>
      </c>
      <c r="E18" s="5">
        <v>46492</v>
      </c>
      <c r="F18" s="5">
        <v>46630</v>
      </c>
    </row>
    <row r="19" spans="1:6" x14ac:dyDescent="0.2">
      <c r="A19" s="2">
        <v>16</v>
      </c>
      <c r="B19" s="2" t="s">
        <v>31</v>
      </c>
      <c r="C19" s="2" t="s">
        <v>32</v>
      </c>
      <c r="D19" s="2">
        <v>1600</v>
      </c>
      <c r="E19" s="5">
        <v>46601</v>
      </c>
      <c r="F19" s="5">
        <v>46690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selection activeCell="K15" sqref="K15"/>
    </sheetView>
  </sheetViews>
  <sheetFormatPr baseColWidth="10" defaultColWidth="8.83203125" defaultRowHeight="15" x14ac:dyDescent="0.2"/>
  <cols>
    <col min="2" max="2" width="23.33203125" customWidth="1"/>
    <col min="3" max="3" width="14" customWidth="1"/>
    <col min="4" max="4" width="12.33203125" customWidth="1"/>
    <col min="5" max="5" width="14.1640625" customWidth="1"/>
    <col min="6" max="6" width="21.5" customWidth="1"/>
  </cols>
  <sheetData>
    <row r="1" spans="1:6" x14ac:dyDescent="0.2">
      <c r="A1" t="s">
        <v>73</v>
      </c>
    </row>
    <row r="2" spans="1:6" x14ac:dyDescent="0.2">
      <c r="A2" s="26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 t="s">
        <v>5</v>
      </c>
    </row>
    <row r="3" spans="1:6" x14ac:dyDescent="0.2">
      <c r="A3" s="2">
        <v>1</v>
      </c>
      <c r="B3" s="2" t="s">
        <v>6</v>
      </c>
      <c r="C3" s="2" t="s">
        <v>7</v>
      </c>
      <c r="D3" s="2">
        <v>1</v>
      </c>
      <c r="E3" s="2" t="s">
        <v>8</v>
      </c>
      <c r="F3" s="2" t="s">
        <v>9</v>
      </c>
    </row>
    <row r="4" spans="1:6" x14ac:dyDescent="0.2">
      <c r="A4" s="2">
        <v>2</v>
      </c>
      <c r="B4" s="2" t="s">
        <v>28</v>
      </c>
      <c r="C4" s="2" t="s">
        <v>11</v>
      </c>
      <c r="D4" s="2">
        <v>1325</v>
      </c>
      <c r="E4" s="2" t="s">
        <v>8</v>
      </c>
      <c r="F4" s="2" t="s">
        <v>9</v>
      </c>
    </row>
    <row r="5" spans="1:6" x14ac:dyDescent="0.2">
      <c r="A5" s="2">
        <v>3</v>
      </c>
      <c r="B5" s="2" t="s">
        <v>10</v>
      </c>
      <c r="C5" s="2" t="s">
        <v>11</v>
      </c>
      <c r="D5" s="2">
        <v>2200</v>
      </c>
      <c r="E5" s="2" t="s">
        <v>8</v>
      </c>
      <c r="F5" s="2" t="s">
        <v>9</v>
      </c>
    </row>
    <row r="6" spans="1:6" x14ac:dyDescent="0.2">
      <c r="A6" s="2">
        <v>4</v>
      </c>
      <c r="B6" s="2" t="s">
        <v>12</v>
      </c>
      <c r="C6" s="2" t="s">
        <v>11</v>
      </c>
      <c r="D6" s="2">
        <v>3525</v>
      </c>
      <c r="E6" s="2" t="s">
        <v>8</v>
      </c>
      <c r="F6" s="2" t="s">
        <v>9</v>
      </c>
    </row>
    <row r="7" spans="1:6" x14ac:dyDescent="0.2">
      <c r="A7" s="2">
        <v>5</v>
      </c>
      <c r="B7" s="2" t="s">
        <v>13</v>
      </c>
      <c r="C7" s="2" t="s">
        <v>11</v>
      </c>
      <c r="D7" s="2">
        <v>480</v>
      </c>
      <c r="E7" s="2" t="s">
        <v>8</v>
      </c>
      <c r="F7" s="2" t="s">
        <v>9</v>
      </c>
    </row>
    <row r="8" spans="1:6" x14ac:dyDescent="0.2">
      <c r="A8" s="2">
        <v>6</v>
      </c>
      <c r="B8" s="2" t="s">
        <v>14</v>
      </c>
      <c r="C8" s="2" t="s">
        <v>11</v>
      </c>
      <c r="D8" s="2">
        <v>480</v>
      </c>
      <c r="E8" s="2" t="s">
        <v>8</v>
      </c>
      <c r="F8" s="2" t="s">
        <v>9</v>
      </c>
    </row>
    <row r="9" spans="1:6" x14ac:dyDescent="0.2">
      <c r="A9" s="2">
        <v>7</v>
      </c>
      <c r="B9" s="2" t="s">
        <v>18</v>
      </c>
      <c r="C9" s="2" t="s">
        <v>11</v>
      </c>
      <c r="D9" s="2">
        <v>500</v>
      </c>
      <c r="E9" s="2" t="s">
        <v>8</v>
      </c>
      <c r="F9" s="2" t="s">
        <v>9</v>
      </c>
    </row>
    <row r="10" spans="1:6" x14ac:dyDescent="0.2">
      <c r="A10" s="2">
        <v>8</v>
      </c>
      <c r="B10" s="2" t="s">
        <v>19</v>
      </c>
      <c r="C10" s="2" t="s">
        <v>11</v>
      </c>
      <c r="D10" s="2">
        <v>1120</v>
      </c>
      <c r="E10" s="2" t="s">
        <v>8</v>
      </c>
      <c r="F10" s="2" t="s">
        <v>9</v>
      </c>
    </row>
    <row r="11" spans="1:6" x14ac:dyDescent="0.2">
      <c r="A11" s="2">
        <v>9</v>
      </c>
      <c r="B11" s="2" t="s">
        <v>20</v>
      </c>
      <c r="C11" s="2" t="s">
        <v>21</v>
      </c>
      <c r="D11" s="2">
        <v>725</v>
      </c>
      <c r="E11" s="2" t="s">
        <v>8</v>
      </c>
      <c r="F11" s="2" t="s">
        <v>9</v>
      </c>
    </row>
    <row r="12" spans="1:6" x14ac:dyDescent="0.2">
      <c r="A12" s="2">
        <v>10</v>
      </c>
      <c r="B12" s="2" t="s">
        <v>22</v>
      </c>
      <c r="C12" s="2" t="s">
        <v>23</v>
      </c>
      <c r="D12" s="2">
        <v>112</v>
      </c>
      <c r="E12" s="2" t="s">
        <v>8</v>
      </c>
      <c r="F12" s="2" t="s">
        <v>9</v>
      </c>
    </row>
    <row r="13" spans="1:6" x14ac:dyDescent="0.2">
      <c r="A13" s="2">
        <v>11</v>
      </c>
      <c r="B13" s="2" t="s">
        <v>27</v>
      </c>
      <c r="C13" s="2" t="s">
        <v>21</v>
      </c>
      <c r="D13" s="2">
        <v>710</v>
      </c>
      <c r="E13" s="2" t="s">
        <v>8</v>
      </c>
      <c r="F13" s="2" t="s">
        <v>9</v>
      </c>
    </row>
    <row r="14" spans="1:6" x14ac:dyDescent="0.2">
      <c r="A14" s="2">
        <v>12</v>
      </c>
      <c r="B14" s="2" t="s">
        <v>26</v>
      </c>
      <c r="C14" s="2" t="s">
        <v>7</v>
      </c>
      <c r="D14" s="2">
        <v>1</v>
      </c>
      <c r="E14" s="2" t="s">
        <v>8</v>
      </c>
      <c r="F14" s="2" t="s">
        <v>9</v>
      </c>
    </row>
    <row r="16" spans="1:6" x14ac:dyDescent="0.2">
      <c r="A16" t="s">
        <v>70</v>
      </c>
    </row>
    <row r="17" spans="1:1" x14ac:dyDescent="0.2">
      <c r="A17" t="s">
        <v>71</v>
      </c>
    </row>
    <row r="18" spans="1:1" x14ac:dyDescent="0.2">
      <c r="A18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baseColWidth="10" defaultColWidth="8.83203125" defaultRowHeight="15" x14ac:dyDescent="0.2"/>
  <cols>
    <col min="2" max="2" width="16.5" bestFit="1" customWidth="1"/>
    <col min="5" max="5" width="11.1640625" bestFit="1" customWidth="1"/>
    <col min="6" max="6" width="11.5" bestFit="1" customWidth="1"/>
  </cols>
  <sheetData>
    <row r="1" spans="1:6" x14ac:dyDescent="0.2">
      <c r="A1" t="s">
        <v>74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>
        <v>1</v>
      </c>
      <c r="B3" s="2" t="s">
        <v>6</v>
      </c>
      <c r="C3" s="2" t="s">
        <v>7</v>
      </c>
      <c r="D3" s="2">
        <v>1</v>
      </c>
      <c r="E3" s="2" t="s">
        <v>8</v>
      </c>
      <c r="F3" s="2" t="s">
        <v>9</v>
      </c>
    </row>
    <row r="4" spans="1:6" x14ac:dyDescent="0.2">
      <c r="A4" s="2">
        <v>2</v>
      </c>
      <c r="B4" s="2" t="s">
        <v>28</v>
      </c>
      <c r="C4" s="2" t="s">
        <v>11</v>
      </c>
      <c r="D4" s="2">
        <v>1325</v>
      </c>
      <c r="E4" s="2" t="s">
        <v>8</v>
      </c>
      <c r="F4" s="2" t="s">
        <v>9</v>
      </c>
    </row>
    <row r="5" spans="1:6" x14ac:dyDescent="0.2">
      <c r="A5" s="2">
        <v>3</v>
      </c>
      <c r="B5" s="2" t="s">
        <v>10</v>
      </c>
      <c r="C5" s="2" t="s">
        <v>11</v>
      </c>
      <c r="D5" s="2">
        <v>2200</v>
      </c>
      <c r="E5" s="2" t="s">
        <v>8</v>
      </c>
      <c r="F5" s="2" t="s">
        <v>9</v>
      </c>
    </row>
    <row r="6" spans="1:6" x14ac:dyDescent="0.2">
      <c r="A6" s="2">
        <v>4</v>
      </c>
      <c r="B6" s="2" t="s">
        <v>12</v>
      </c>
      <c r="C6" s="2" t="s">
        <v>11</v>
      </c>
      <c r="D6" s="2">
        <v>3525</v>
      </c>
      <c r="E6" s="2" t="s">
        <v>8</v>
      </c>
      <c r="F6" s="2" t="s">
        <v>9</v>
      </c>
    </row>
    <row r="7" spans="1:6" x14ac:dyDescent="0.2">
      <c r="A7" s="2">
        <v>5</v>
      </c>
      <c r="B7" s="2" t="s">
        <v>13</v>
      </c>
      <c r="C7" s="2" t="s">
        <v>11</v>
      </c>
      <c r="D7" s="2">
        <v>480</v>
      </c>
      <c r="E7" s="2" t="s">
        <v>8</v>
      </c>
      <c r="F7" s="2" t="s">
        <v>9</v>
      </c>
    </row>
    <row r="8" spans="1:6" x14ac:dyDescent="0.2">
      <c r="A8" s="2">
        <v>6</v>
      </c>
      <c r="B8" s="2" t="s">
        <v>14</v>
      </c>
      <c r="C8" s="2" t="s">
        <v>11</v>
      </c>
      <c r="D8" s="2">
        <v>480</v>
      </c>
      <c r="E8" s="2" t="s">
        <v>8</v>
      </c>
      <c r="F8" s="2" t="s">
        <v>9</v>
      </c>
    </row>
    <row r="9" spans="1:6" x14ac:dyDescent="0.2">
      <c r="A9" s="2">
        <v>7</v>
      </c>
      <c r="B9" s="2" t="s">
        <v>18</v>
      </c>
      <c r="C9" s="2" t="s">
        <v>11</v>
      </c>
      <c r="D9" s="2">
        <v>500</v>
      </c>
      <c r="E9" s="2" t="s">
        <v>8</v>
      </c>
      <c r="F9" s="2" t="s">
        <v>9</v>
      </c>
    </row>
    <row r="10" spans="1:6" x14ac:dyDescent="0.2">
      <c r="A10" s="2">
        <v>8</v>
      </c>
      <c r="B10" s="2" t="s">
        <v>19</v>
      </c>
      <c r="C10" s="2" t="s">
        <v>11</v>
      </c>
      <c r="D10" s="2">
        <v>1120</v>
      </c>
      <c r="E10" s="2" t="s">
        <v>8</v>
      </c>
      <c r="F10" s="2" t="s">
        <v>9</v>
      </c>
    </row>
    <row r="11" spans="1:6" x14ac:dyDescent="0.2">
      <c r="A11" s="2">
        <v>9</v>
      </c>
      <c r="B11" s="2" t="s">
        <v>20</v>
      </c>
      <c r="C11" s="2" t="s">
        <v>21</v>
      </c>
      <c r="D11" s="2">
        <v>725</v>
      </c>
      <c r="E11" s="2" t="s">
        <v>8</v>
      </c>
      <c r="F11" s="2" t="s">
        <v>9</v>
      </c>
    </row>
    <row r="12" spans="1:6" x14ac:dyDescent="0.2">
      <c r="A12" s="2">
        <v>10</v>
      </c>
      <c r="B12" s="2" t="s">
        <v>22</v>
      </c>
      <c r="C12" s="2" t="s">
        <v>23</v>
      </c>
      <c r="D12" s="2">
        <v>112</v>
      </c>
      <c r="E12" s="2" t="s">
        <v>8</v>
      </c>
      <c r="F12" s="2" t="s">
        <v>9</v>
      </c>
    </row>
    <row r="13" spans="1:6" x14ac:dyDescent="0.2">
      <c r="A13" s="2">
        <v>11</v>
      </c>
      <c r="B13" s="2" t="s">
        <v>27</v>
      </c>
      <c r="C13" s="2" t="s">
        <v>21</v>
      </c>
      <c r="D13" s="2">
        <v>710</v>
      </c>
      <c r="E13" s="2" t="s">
        <v>8</v>
      </c>
      <c r="F13" s="2" t="s">
        <v>9</v>
      </c>
    </row>
    <row r="14" spans="1:6" x14ac:dyDescent="0.2">
      <c r="A14" s="2">
        <v>12</v>
      </c>
      <c r="B14" s="2" t="s">
        <v>26</v>
      </c>
      <c r="C14" s="2" t="s">
        <v>7</v>
      </c>
      <c r="D14" s="2">
        <v>1</v>
      </c>
      <c r="E14" s="2" t="s">
        <v>8</v>
      </c>
      <c r="F14" s="2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F15"/>
  <sheetViews>
    <sheetView workbookViewId="0"/>
  </sheetViews>
  <sheetFormatPr baseColWidth="10" defaultColWidth="8.83203125" defaultRowHeight="15" x14ac:dyDescent="0.2"/>
  <cols>
    <col min="2" max="2" width="25.1640625" customWidth="1"/>
    <col min="5" max="5" width="11.1640625" bestFit="1" customWidth="1"/>
    <col min="6" max="6" width="11.5" bestFit="1" customWidth="1"/>
  </cols>
  <sheetData>
    <row r="1" spans="1:6" x14ac:dyDescent="0.2">
      <c r="A1" s="8" t="s">
        <v>76</v>
      </c>
      <c r="B1" s="2"/>
      <c r="C1" s="2"/>
      <c r="D1" s="2"/>
      <c r="E1" s="2"/>
      <c r="F1" s="2"/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>
        <v>1</v>
      </c>
      <c r="B3" s="2" t="s">
        <v>10</v>
      </c>
      <c r="C3" s="2" t="s">
        <v>11</v>
      </c>
      <c r="D3" s="2">
        <v>8000</v>
      </c>
      <c r="E3" s="5">
        <v>46300</v>
      </c>
      <c r="F3" s="5">
        <v>46386</v>
      </c>
    </row>
    <row r="4" spans="1:6" x14ac:dyDescent="0.2">
      <c r="A4" s="2">
        <v>2</v>
      </c>
      <c r="B4" s="2" t="s">
        <v>12</v>
      </c>
      <c r="C4" s="2" t="s">
        <v>11</v>
      </c>
      <c r="D4" s="2">
        <v>8000</v>
      </c>
      <c r="E4" s="5">
        <v>46300</v>
      </c>
      <c r="F4" s="5">
        <v>46386</v>
      </c>
    </row>
    <row r="5" spans="1:6" x14ac:dyDescent="0.2">
      <c r="A5" s="2">
        <v>3</v>
      </c>
      <c r="B5" s="6" t="s">
        <v>29</v>
      </c>
      <c r="C5" s="6" t="s">
        <v>21</v>
      </c>
      <c r="D5" s="6">
        <f>480*7</f>
        <v>3360</v>
      </c>
      <c r="E5" s="4">
        <v>46371</v>
      </c>
      <c r="F5" s="4">
        <v>46386</v>
      </c>
    </row>
    <row r="6" spans="1:6" x14ac:dyDescent="0.2">
      <c r="A6" s="2">
        <v>4</v>
      </c>
      <c r="B6" s="2" t="s">
        <v>13</v>
      </c>
      <c r="C6" s="2" t="s">
        <v>11</v>
      </c>
      <c r="D6" s="2">
        <v>1200</v>
      </c>
      <c r="E6" s="5">
        <v>46315</v>
      </c>
      <c r="F6" s="5">
        <v>46402</v>
      </c>
    </row>
    <row r="7" spans="1:6" x14ac:dyDescent="0.2">
      <c r="A7" s="2">
        <v>5</v>
      </c>
      <c r="B7" s="2" t="s">
        <v>14</v>
      </c>
      <c r="C7" s="2" t="s">
        <v>11</v>
      </c>
      <c r="D7" s="2">
        <v>510</v>
      </c>
      <c r="E7" s="5">
        <v>46320</v>
      </c>
      <c r="F7" s="5">
        <v>46052</v>
      </c>
    </row>
    <row r="8" spans="1:6" x14ac:dyDescent="0.2">
      <c r="A8" s="2">
        <v>6</v>
      </c>
      <c r="B8" s="2" t="s">
        <v>15</v>
      </c>
      <c r="C8" s="2" t="s">
        <v>11</v>
      </c>
      <c r="D8" s="2">
        <v>510</v>
      </c>
      <c r="E8" s="5">
        <v>46331</v>
      </c>
      <c r="F8" s="5">
        <v>46433</v>
      </c>
    </row>
    <row r="9" spans="1:6" x14ac:dyDescent="0.2">
      <c r="A9" s="2">
        <v>7</v>
      </c>
      <c r="B9" s="2" t="s">
        <v>18</v>
      </c>
      <c r="C9" s="2" t="s">
        <v>11</v>
      </c>
      <c r="D9" s="2">
        <v>70</v>
      </c>
      <c r="E9" s="5">
        <v>46331</v>
      </c>
      <c r="F9" s="5">
        <v>46433</v>
      </c>
    </row>
    <row r="10" spans="1:6" x14ac:dyDescent="0.2">
      <c r="A10" s="2">
        <v>8</v>
      </c>
      <c r="B10" s="2" t="s">
        <v>30</v>
      </c>
      <c r="C10" s="2" t="s">
        <v>11</v>
      </c>
      <c r="D10" s="2">
        <v>670</v>
      </c>
      <c r="E10" s="5">
        <v>46341</v>
      </c>
      <c r="F10" s="5">
        <v>46497</v>
      </c>
    </row>
    <row r="11" spans="1:6" x14ac:dyDescent="0.2">
      <c r="A11" s="2">
        <v>9</v>
      </c>
      <c r="B11" s="2" t="s">
        <v>20</v>
      </c>
      <c r="C11" s="2" t="s">
        <v>21</v>
      </c>
      <c r="D11" s="2">
        <v>3000</v>
      </c>
      <c r="E11" s="5">
        <v>46341</v>
      </c>
      <c r="F11" s="5">
        <v>46492</v>
      </c>
    </row>
    <row r="12" spans="1:6" x14ac:dyDescent="0.2">
      <c r="A12" s="2">
        <v>10</v>
      </c>
      <c r="B12" s="2" t="s">
        <v>22</v>
      </c>
      <c r="C12" s="2" t="s">
        <v>23</v>
      </c>
      <c r="D12" s="2">
        <v>50</v>
      </c>
      <c r="E12" s="5">
        <v>46341</v>
      </c>
      <c r="F12" s="5">
        <v>46492</v>
      </c>
    </row>
    <row r="13" spans="1:6" x14ac:dyDescent="0.2">
      <c r="A13" s="2">
        <v>11</v>
      </c>
      <c r="B13" s="2" t="s">
        <v>31</v>
      </c>
      <c r="C13" s="2" t="s">
        <v>32</v>
      </c>
      <c r="D13" s="2">
        <v>900</v>
      </c>
      <c r="E13" s="5">
        <v>46371</v>
      </c>
      <c r="F13" s="5">
        <v>46507</v>
      </c>
    </row>
    <row r="14" spans="1:6" x14ac:dyDescent="0.2">
      <c r="A14" s="2">
        <v>12</v>
      </c>
      <c r="B14" s="2" t="s">
        <v>27</v>
      </c>
      <c r="C14" s="2" t="s">
        <v>21</v>
      </c>
      <c r="D14" s="2">
        <v>600</v>
      </c>
      <c r="E14" s="5">
        <v>46341</v>
      </c>
      <c r="F14" s="5">
        <v>46497</v>
      </c>
    </row>
    <row r="15" spans="1:6" x14ac:dyDescent="0.2">
      <c r="A15" s="2">
        <v>13</v>
      </c>
      <c r="B15" s="2" t="s">
        <v>33</v>
      </c>
      <c r="C15" s="2" t="s">
        <v>21</v>
      </c>
      <c r="D15" s="2">
        <v>30</v>
      </c>
      <c r="E15" s="5">
        <v>46447</v>
      </c>
      <c r="F15" s="5">
        <v>46507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F13"/>
  <sheetViews>
    <sheetView workbookViewId="0">
      <selection activeCell="G21" sqref="G21"/>
    </sheetView>
  </sheetViews>
  <sheetFormatPr baseColWidth="10" defaultColWidth="8.83203125" defaultRowHeight="15" x14ac:dyDescent="0.2"/>
  <cols>
    <col min="2" max="2" width="32.6640625" customWidth="1"/>
    <col min="3" max="3" width="9.5" customWidth="1"/>
    <col min="4" max="4" width="10.5" customWidth="1"/>
    <col min="5" max="5" width="11.1640625" bestFit="1" customWidth="1"/>
    <col min="6" max="6" width="11.5" bestFit="1" customWidth="1"/>
  </cols>
  <sheetData>
    <row r="1" spans="1:6" x14ac:dyDescent="0.2">
      <c r="A1" s="3" t="s">
        <v>77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>
        <v>1</v>
      </c>
      <c r="B3" s="2" t="s">
        <v>10</v>
      </c>
      <c r="C3" s="2" t="s">
        <v>11</v>
      </c>
      <c r="D3" s="2">
        <v>850</v>
      </c>
      <c r="E3" s="5">
        <v>46357</v>
      </c>
      <c r="F3" s="5">
        <v>46402</v>
      </c>
    </row>
    <row r="4" spans="1:6" x14ac:dyDescent="0.2">
      <c r="A4" s="2">
        <v>2</v>
      </c>
      <c r="B4" s="2" t="s">
        <v>12</v>
      </c>
      <c r="C4" s="2" t="s">
        <v>11</v>
      </c>
      <c r="D4" s="2">
        <v>850</v>
      </c>
      <c r="E4" s="5">
        <v>46357</v>
      </c>
      <c r="F4" s="5">
        <v>46402</v>
      </c>
    </row>
    <row r="5" spans="1:6" x14ac:dyDescent="0.2">
      <c r="A5" s="6">
        <v>1</v>
      </c>
      <c r="B5" s="6" t="s">
        <v>29</v>
      </c>
      <c r="C5" s="6" t="s">
        <v>21</v>
      </c>
      <c r="D5" s="6">
        <v>760</v>
      </c>
      <c r="E5" s="5">
        <v>46404</v>
      </c>
      <c r="F5" s="5">
        <v>46409</v>
      </c>
    </row>
    <row r="6" spans="1:6" x14ac:dyDescent="0.2">
      <c r="A6" s="2">
        <v>3</v>
      </c>
      <c r="B6" s="2" t="s">
        <v>13</v>
      </c>
      <c r="C6" s="2" t="s">
        <v>11</v>
      </c>
      <c r="D6" s="2">
        <v>264</v>
      </c>
      <c r="E6" s="5">
        <v>46409</v>
      </c>
      <c r="F6" s="5">
        <v>46433</v>
      </c>
    </row>
    <row r="7" spans="1:6" x14ac:dyDescent="0.2">
      <c r="A7" s="2">
        <v>4</v>
      </c>
      <c r="B7" s="2" t="s">
        <v>14</v>
      </c>
      <c r="C7" s="2" t="s">
        <v>11</v>
      </c>
      <c r="D7" s="2">
        <v>114</v>
      </c>
      <c r="E7" s="5">
        <v>46434</v>
      </c>
      <c r="F7" s="5">
        <v>46439</v>
      </c>
    </row>
    <row r="8" spans="1:6" x14ac:dyDescent="0.2">
      <c r="A8" s="2">
        <v>5</v>
      </c>
      <c r="B8" s="2" t="s">
        <v>15</v>
      </c>
      <c r="C8" s="2" t="s">
        <v>11</v>
      </c>
      <c r="D8" s="2">
        <v>114</v>
      </c>
      <c r="E8" s="5">
        <v>46442</v>
      </c>
      <c r="F8" s="5">
        <v>46446</v>
      </c>
    </row>
    <row r="9" spans="1:6" x14ac:dyDescent="0.2">
      <c r="A9" s="2">
        <v>7</v>
      </c>
      <c r="B9" s="2" t="s">
        <v>30</v>
      </c>
      <c r="C9" s="2" t="s">
        <v>11</v>
      </c>
      <c r="D9" s="2">
        <v>160</v>
      </c>
      <c r="E9" s="5">
        <v>46447</v>
      </c>
      <c r="F9" s="5">
        <v>46507</v>
      </c>
    </row>
    <row r="10" spans="1:6" x14ac:dyDescent="0.2">
      <c r="A10" s="2">
        <v>6</v>
      </c>
      <c r="B10" s="2" t="s">
        <v>20</v>
      </c>
      <c r="C10" s="2" t="s">
        <v>21</v>
      </c>
      <c r="D10" s="2">
        <v>100</v>
      </c>
      <c r="E10" s="5">
        <v>46447</v>
      </c>
      <c r="F10" s="5">
        <v>46507</v>
      </c>
    </row>
    <row r="11" spans="1:6" x14ac:dyDescent="0.2">
      <c r="A11" s="2">
        <v>7</v>
      </c>
      <c r="B11" s="2" t="s">
        <v>22</v>
      </c>
      <c r="C11" s="2" t="s">
        <v>23</v>
      </c>
      <c r="D11" s="2">
        <v>9</v>
      </c>
      <c r="E11" s="5">
        <v>46447</v>
      </c>
      <c r="F11" s="5">
        <v>46507</v>
      </c>
    </row>
    <row r="12" spans="1:6" x14ac:dyDescent="0.2">
      <c r="A12" s="2">
        <v>8</v>
      </c>
      <c r="B12" s="2" t="s">
        <v>27</v>
      </c>
      <c r="C12" s="2" t="s">
        <v>21</v>
      </c>
      <c r="D12" s="2">
        <v>100</v>
      </c>
      <c r="E12" s="5">
        <v>46447</v>
      </c>
      <c r="F12" s="5">
        <v>46507</v>
      </c>
    </row>
    <row r="13" spans="1:6" x14ac:dyDescent="0.2">
      <c r="A13" s="2">
        <v>9</v>
      </c>
      <c r="B13" s="2" t="s">
        <v>33</v>
      </c>
      <c r="C13" s="2" t="s">
        <v>21</v>
      </c>
      <c r="D13" s="2">
        <v>3</v>
      </c>
      <c r="E13" s="5">
        <v>46447</v>
      </c>
      <c r="F13" s="5">
        <v>46507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F14"/>
  <sheetViews>
    <sheetView tabSelected="1" workbookViewId="0">
      <selection activeCell="J11" sqref="J11"/>
    </sheetView>
  </sheetViews>
  <sheetFormatPr baseColWidth="10" defaultColWidth="8.83203125" defaultRowHeight="15" x14ac:dyDescent="0.2"/>
  <cols>
    <col min="2" max="2" width="15.83203125" bestFit="1" customWidth="1"/>
    <col min="3" max="3" width="11.6640625" customWidth="1"/>
    <col min="5" max="5" width="14.6640625" customWidth="1"/>
    <col min="6" max="6" width="11.5" bestFit="1" customWidth="1"/>
  </cols>
  <sheetData>
    <row r="1" spans="1:6" x14ac:dyDescent="0.2">
      <c r="A1" s="11" t="s">
        <v>83</v>
      </c>
      <c r="B1" s="11"/>
      <c r="C1" s="11"/>
      <c r="D1" s="11"/>
      <c r="E1" s="11"/>
      <c r="F1" s="11"/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>
        <v>1</v>
      </c>
      <c r="B3" s="2" t="s">
        <v>10</v>
      </c>
      <c r="C3" s="2" t="s">
        <v>11</v>
      </c>
      <c r="D3" s="2">
        <v>2000</v>
      </c>
      <c r="E3" s="5">
        <v>46433</v>
      </c>
      <c r="F3" s="4">
        <v>46477</v>
      </c>
    </row>
    <row r="4" spans="1:6" x14ac:dyDescent="0.2">
      <c r="A4" s="2">
        <v>2</v>
      </c>
      <c r="B4" s="2" t="s">
        <v>12</v>
      </c>
      <c r="C4" s="2" t="s">
        <v>11</v>
      </c>
      <c r="D4" s="2">
        <v>2000</v>
      </c>
      <c r="E4" s="5">
        <v>46433</v>
      </c>
      <c r="F4" s="4">
        <v>46477</v>
      </c>
    </row>
    <row r="5" spans="1:6" x14ac:dyDescent="0.2">
      <c r="A5" s="2">
        <v>3</v>
      </c>
      <c r="B5" s="2" t="s">
        <v>43</v>
      </c>
      <c r="C5" s="2" t="s">
        <v>49</v>
      </c>
      <c r="D5" s="2">
        <v>1800</v>
      </c>
      <c r="E5" s="5">
        <v>46478</v>
      </c>
      <c r="F5" s="5">
        <v>46487</v>
      </c>
    </row>
    <row r="6" spans="1:6" x14ac:dyDescent="0.2">
      <c r="A6" s="2">
        <v>3</v>
      </c>
      <c r="B6" s="2" t="s">
        <v>13</v>
      </c>
      <c r="C6" s="2" t="s">
        <v>11</v>
      </c>
      <c r="D6" s="2">
        <v>650</v>
      </c>
      <c r="E6" s="5">
        <v>46482</v>
      </c>
      <c r="F6" s="5">
        <v>46502</v>
      </c>
    </row>
    <row r="7" spans="1:6" x14ac:dyDescent="0.2">
      <c r="A7" s="2">
        <v>4</v>
      </c>
      <c r="B7" s="2" t="s">
        <v>14</v>
      </c>
      <c r="C7" s="2" t="s">
        <v>11</v>
      </c>
      <c r="D7" s="2">
        <v>275</v>
      </c>
      <c r="E7" s="5">
        <v>46497</v>
      </c>
      <c r="F7" s="5">
        <v>46517</v>
      </c>
    </row>
    <row r="8" spans="1:6" x14ac:dyDescent="0.2">
      <c r="A8" s="2">
        <v>5</v>
      </c>
      <c r="B8" s="2" t="s">
        <v>15</v>
      </c>
      <c r="C8" s="2" t="s">
        <v>11</v>
      </c>
      <c r="D8" s="2">
        <v>275</v>
      </c>
      <c r="E8" s="5">
        <v>46517</v>
      </c>
      <c r="F8" s="5">
        <v>46537</v>
      </c>
    </row>
    <row r="9" spans="1:6" x14ac:dyDescent="0.2">
      <c r="A9" s="2">
        <v>6</v>
      </c>
      <c r="B9" s="2" t="s">
        <v>19</v>
      </c>
      <c r="C9" s="2" t="s">
        <v>11</v>
      </c>
      <c r="D9" s="2">
        <v>350</v>
      </c>
      <c r="E9" s="5">
        <v>46527</v>
      </c>
      <c r="F9" s="5">
        <v>46619</v>
      </c>
    </row>
    <row r="10" spans="1:6" x14ac:dyDescent="0.2">
      <c r="A10" s="2">
        <v>7</v>
      </c>
      <c r="B10" s="2" t="s">
        <v>20</v>
      </c>
      <c r="C10" s="2" t="s">
        <v>21</v>
      </c>
      <c r="D10" s="2">
        <v>380</v>
      </c>
      <c r="E10" s="5">
        <v>46527</v>
      </c>
      <c r="F10" s="5">
        <v>46619</v>
      </c>
    </row>
    <row r="11" spans="1:6" x14ac:dyDescent="0.2">
      <c r="A11" s="2">
        <v>8</v>
      </c>
      <c r="B11" s="2" t="s">
        <v>22</v>
      </c>
      <c r="C11" s="2" t="s">
        <v>23</v>
      </c>
      <c r="D11" s="2">
        <v>21</v>
      </c>
      <c r="E11" s="5">
        <v>46527</v>
      </c>
      <c r="F11" s="5">
        <v>46619</v>
      </c>
    </row>
    <row r="12" spans="1:6" x14ac:dyDescent="0.2">
      <c r="A12" s="2">
        <v>9</v>
      </c>
      <c r="B12" s="2" t="s">
        <v>27</v>
      </c>
      <c r="C12" s="2" t="s">
        <v>21</v>
      </c>
      <c r="D12" s="2">
        <v>340</v>
      </c>
      <c r="E12" s="5">
        <v>46527</v>
      </c>
      <c r="F12" s="5">
        <v>46619</v>
      </c>
    </row>
    <row r="13" spans="1:6" x14ac:dyDescent="0.2">
      <c r="A13" s="2">
        <v>10</v>
      </c>
      <c r="B13" s="2" t="s">
        <v>50</v>
      </c>
      <c r="C13" s="2" t="s">
        <v>51</v>
      </c>
      <c r="D13" s="2">
        <v>12</v>
      </c>
      <c r="E13" s="5">
        <v>46527</v>
      </c>
      <c r="F13" s="5">
        <v>46619</v>
      </c>
    </row>
    <row r="14" spans="1:6" x14ac:dyDescent="0.2">
      <c r="A14" s="2">
        <v>11</v>
      </c>
      <c r="B14" s="2" t="s">
        <v>31</v>
      </c>
      <c r="C14" s="2" t="s">
        <v>32</v>
      </c>
      <c r="D14" s="2">
        <v>450</v>
      </c>
      <c r="E14" s="5">
        <v>46600</v>
      </c>
      <c r="F14" s="5">
        <v>46645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14"/>
  <sheetViews>
    <sheetView workbookViewId="0">
      <selection activeCell="B9" sqref="B9"/>
    </sheetView>
  </sheetViews>
  <sheetFormatPr baseColWidth="10" defaultColWidth="8.83203125" defaultRowHeight="15" x14ac:dyDescent="0.2"/>
  <cols>
    <col min="2" max="2" width="15.83203125" bestFit="1" customWidth="1"/>
    <col min="5" max="5" width="11.1640625" bestFit="1" customWidth="1"/>
    <col min="6" max="6" width="11.5" bestFit="1" customWidth="1"/>
  </cols>
  <sheetData>
    <row r="1" spans="1:6" x14ac:dyDescent="0.2">
      <c r="A1" t="s">
        <v>39</v>
      </c>
      <c r="D1" t="s">
        <v>40</v>
      </c>
    </row>
    <row r="2" spans="1:6" x14ac:dyDescent="0.2">
      <c r="A2" s="10" t="s">
        <v>36</v>
      </c>
    </row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">
      <c r="A4" s="2">
        <v>1</v>
      </c>
      <c r="B4" s="2" t="s">
        <v>10</v>
      </c>
      <c r="C4" s="2" t="s">
        <v>11</v>
      </c>
      <c r="D4" s="2">
        <v>900</v>
      </c>
      <c r="E4" s="5">
        <v>46305</v>
      </c>
      <c r="F4" s="5">
        <v>46336</v>
      </c>
    </row>
    <row r="5" spans="1:6" x14ac:dyDescent="0.2">
      <c r="A5" s="2">
        <v>2</v>
      </c>
      <c r="B5" s="2" t="s">
        <v>12</v>
      </c>
      <c r="C5" s="2" t="s">
        <v>11</v>
      </c>
      <c r="D5" s="2">
        <v>900</v>
      </c>
      <c r="E5" s="5">
        <v>46305</v>
      </c>
      <c r="F5" s="5">
        <v>46336</v>
      </c>
    </row>
    <row r="6" spans="1:6" x14ac:dyDescent="0.2">
      <c r="A6" s="2">
        <v>3</v>
      </c>
      <c r="B6" s="2" t="s">
        <v>13</v>
      </c>
      <c r="C6" s="2" t="s">
        <v>11</v>
      </c>
      <c r="D6" s="2">
        <v>275</v>
      </c>
      <c r="E6" s="5">
        <v>46320</v>
      </c>
      <c r="F6" s="5">
        <v>46341</v>
      </c>
    </row>
    <row r="7" spans="1:6" x14ac:dyDescent="0.2">
      <c r="A7" s="2">
        <v>4</v>
      </c>
      <c r="B7" s="2" t="s">
        <v>14</v>
      </c>
      <c r="C7" s="2" t="s">
        <v>11</v>
      </c>
      <c r="D7" s="2">
        <v>125</v>
      </c>
      <c r="E7" s="5">
        <v>46341</v>
      </c>
      <c r="F7" s="5">
        <v>46346</v>
      </c>
    </row>
    <row r="8" spans="1:6" x14ac:dyDescent="0.2">
      <c r="A8" s="2">
        <v>5</v>
      </c>
      <c r="B8" s="2" t="s">
        <v>15</v>
      </c>
      <c r="C8" s="2" t="s">
        <v>11</v>
      </c>
      <c r="D8" s="2">
        <v>125</v>
      </c>
      <c r="E8" s="5">
        <v>46348</v>
      </c>
      <c r="F8" s="5">
        <v>46356</v>
      </c>
    </row>
    <row r="9" spans="1:6" x14ac:dyDescent="0.2">
      <c r="A9" s="2">
        <v>6</v>
      </c>
      <c r="B9" s="2" t="s">
        <v>19</v>
      </c>
      <c r="C9" s="2" t="s">
        <v>11</v>
      </c>
      <c r="D9" s="2">
        <v>165</v>
      </c>
      <c r="E9" s="5">
        <v>46356</v>
      </c>
      <c r="F9" s="5">
        <v>46402</v>
      </c>
    </row>
    <row r="10" spans="1:6" x14ac:dyDescent="0.2">
      <c r="A10" s="2">
        <v>6</v>
      </c>
      <c r="B10" s="2" t="s">
        <v>20</v>
      </c>
      <c r="C10" s="2" t="s">
        <v>21</v>
      </c>
      <c r="D10" s="2">
        <v>160</v>
      </c>
      <c r="E10" s="5">
        <v>46356</v>
      </c>
      <c r="F10" s="5">
        <v>46402</v>
      </c>
    </row>
    <row r="11" spans="1:6" x14ac:dyDescent="0.2">
      <c r="A11" s="2">
        <v>7</v>
      </c>
      <c r="B11" s="2" t="s">
        <v>22</v>
      </c>
      <c r="C11" s="2" t="s">
        <v>23</v>
      </c>
      <c r="D11" s="2">
        <v>9</v>
      </c>
      <c r="E11" s="5">
        <v>46356</v>
      </c>
      <c r="F11" s="5">
        <v>46402</v>
      </c>
    </row>
    <row r="12" spans="1:6" x14ac:dyDescent="0.2">
      <c r="A12" s="2">
        <v>8</v>
      </c>
      <c r="B12" s="2" t="s">
        <v>27</v>
      </c>
      <c r="C12" s="2" t="s">
        <v>21</v>
      </c>
      <c r="D12" s="2">
        <v>142</v>
      </c>
      <c r="E12" s="5">
        <v>46356</v>
      </c>
      <c r="F12" s="5">
        <v>46398</v>
      </c>
    </row>
    <row r="13" spans="1:6" x14ac:dyDescent="0.2">
      <c r="A13" s="2">
        <v>9</v>
      </c>
      <c r="B13" s="2" t="s">
        <v>37</v>
      </c>
      <c r="C13" s="2" t="s">
        <v>32</v>
      </c>
      <c r="D13" s="2">
        <v>150</v>
      </c>
      <c r="E13" s="5">
        <v>46402</v>
      </c>
      <c r="F13" s="5">
        <v>46417</v>
      </c>
    </row>
    <row r="14" spans="1:6" x14ac:dyDescent="0.2">
      <c r="A14" s="2">
        <v>10</v>
      </c>
      <c r="B14" s="2" t="s">
        <v>38</v>
      </c>
      <c r="C14" s="2" t="s">
        <v>21</v>
      </c>
      <c r="D14" s="2">
        <v>3</v>
      </c>
      <c r="E14" s="5">
        <v>46371</v>
      </c>
      <c r="F14" s="5">
        <v>46419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G14"/>
  <sheetViews>
    <sheetView topLeftCell="A2" workbookViewId="0">
      <selection activeCell="D11" sqref="D11"/>
    </sheetView>
  </sheetViews>
  <sheetFormatPr baseColWidth="10" defaultColWidth="8.83203125" defaultRowHeight="15" x14ac:dyDescent="0.2"/>
  <cols>
    <col min="2" max="2" width="15.83203125" bestFit="1" customWidth="1"/>
    <col min="4" max="4" width="8.1640625" bestFit="1" customWidth="1"/>
    <col min="5" max="5" width="11.1640625" bestFit="1" customWidth="1"/>
    <col min="6" max="6" width="11.5" bestFit="1" customWidth="1"/>
    <col min="7" max="7" width="10.1640625" bestFit="1" customWidth="1"/>
  </cols>
  <sheetData>
    <row r="1" spans="1:7" x14ac:dyDescent="0.2">
      <c r="A1" s="3" t="s">
        <v>34</v>
      </c>
      <c r="E1" t="s">
        <v>52</v>
      </c>
    </row>
    <row r="2" spans="1:7" x14ac:dyDescent="0.2">
      <c r="A2" s="14" t="s">
        <v>54</v>
      </c>
    </row>
    <row r="3" spans="1: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7" x14ac:dyDescent="0.2">
      <c r="A4" s="2">
        <v>1</v>
      </c>
      <c r="B4" s="2" t="s">
        <v>10</v>
      </c>
      <c r="C4" s="2" t="s">
        <v>11</v>
      </c>
      <c r="D4" s="2">
        <v>140</v>
      </c>
      <c r="E4" s="5">
        <v>46316</v>
      </c>
      <c r="F4" s="5">
        <v>46321</v>
      </c>
    </row>
    <row r="5" spans="1:7" x14ac:dyDescent="0.2">
      <c r="A5" s="2">
        <v>2</v>
      </c>
      <c r="B5" s="2" t="s">
        <v>12</v>
      </c>
      <c r="C5" s="2" t="s">
        <v>11</v>
      </c>
      <c r="D5" s="2">
        <v>140</v>
      </c>
      <c r="E5" s="5">
        <v>46316</v>
      </c>
      <c r="F5" s="5">
        <v>46321</v>
      </c>
    </row>
    <row r="6" spans="1:7" x14ac:dyDescent="0.2">
      <c r="A6" s="2">
        <v>4</v>
      </c>
      <c r="B6" s="2" t="s">
        <v>13</v>
      </c>
      <c r="C6" s="2" t="s">
        <v>11</v>
      </c>
      <c r="D6" s="2">
        <v>50</v>
      </c>
      <c r="E6" s="5">
        <v>46323</v>
      </c>
      <c r="F6" s="5">
        <v>46321</v>
      </c>
    </row>
    <row r="7" spans="1:7" x14ac:dyDescent="0.2">
      <c r="A7" s="2">
        <v>5</v>
      </c>
      <c r="B7" s="2" t="s">
        <v>14</v>
      </c>
      <c r="C7" s="2" t="s">
        <v>11</v>
      </c>
      <c r="D7" s="2">
        <v>21</v>
      </c>
      <c r="E7" s="5">
        <v>46328</v>
      </c>
      <c r="F7" s="5">
        <v>46332</v>
      </c>
    </row>
    <row r="8" spans="1:7" x14ac:dyDescent="0.2">
      <c r="A8" s="2">
        <v>6</v>
      </c>
      <c r="B8" s="2" t="s">
        <v>18</v>
      </c>
      <c r="C8" s="2" t="s">
        <v>11</v>
      </c>
      <c r="D8" s="2">
        <v>30</v>
      </c>
      <c r="E8" s="5">
        <v>46338</v>
      </c>
      <c r="F8" s="5">
        <v>46343</v>
      </c>
    </row>
    <row r="9" spans="1:7" x14ac:dyDescent="0.2">
      <c r="A9" s="2">
        <v>7</v>
      </c>
      <c r="B9" s="2" t="s">
        <v>19</v>
      </c>
      <c r="C9" s="2" t="s">
        <v>11</v>
      </c>
      <c r="D9" s="2">
        <v>120</v>
      </c>
      <c r="E9" s="5">
        <v>46346</v>
      </c>
      <c r="F9" s="5">
        <v>46401</v>
      </c>
    </row>
    <row r="10" spans="1:7" x14ac:dyDescent="0.2">
      <c r="A10" s="2">
        <v>8</v>
      </c>
      <c r="B10" s="2" t="s">
        <v>20</v>
      </c>
      <c r="C10" s="2" t="s">
        <v>21</v>
      </c>
      <c r="D10" s="2">
        <v>100</v>
      </c>
      <c r="E10" s="5">
        <v>46346</v>
      </c>
      <c r="F10" s="5">
        <v>46401</v>
      </c>
    </row>
    <row r="11" spans="1:7" x14ac:dyDescent="0.2">
      <c r="A11" s="2">
        <v>9</v>
      </c>
      <c r="B11" s="2" t="s">
        <v>22</v>
      </c>
      <c r="C11" s="2" t="s">
        <v>23</v>
      </c>
      <c r="D11" s="2">
        <v>7</v>
      </c>
      <c r="E11" s="5">
        <v>46346</v>
      </c>
      <c r="F11" s="5">
        <v>46401</v>
      </c>
    </row>
    <row r="12" spans="1:7" x14ac:dyDescent="0.2">
      <c r="A12" s="2">
        <v>10</v>
      </c>
      <c r="B12" s="2" t="s">
        <v>27</v>
      </c>
      <c r="C12" s="2" t="s">
        <v>21</v>
      </c>
      <c r="D12" s="2">
        <v>70</v>
      </c>
      <c r="E12" s="5">
        <v>46346</v>
      </c>
      <c r="F12" s="5">
        <v>46401</v>
      </c>
    </row>
    <row r="13" spans="1:7" x14ac:dyDescent="0.2">
      <c r="A13" s="2">
        <v>11</v>
      </c>
      <c r="B13" s="2" t="s">
        <v>33</v>
      </c>
      <c r="C13" s="2" t="s">
        <v>21</v>
      </c>
      <c r="D13" s="2">
        <v>3</v>
      </c>
      <c r="E13" s="5">
        <v>46346</v>
      </c>
      <c r="F13" s="5">
        <v>46401</v>
      </c>
    </row>
    <row r="14" spans="1:7" x14ac:dyDescent="0.2">
      <c r="A14" s="2">
        <v>12</v>
      </c>
      <c r="B14" s="2" t="s">
        <v>31</v>
      </c>
      <c r="C14" s="2" t="s">
        <v>32</v>
      </c>
      <c r="D14" s="2">
        <v>160</v>
      </c>
      <c r="E14" s="5">
        <v>46402</v>
      </c>
      <c r="F14" s="5">
        <v>46418</v>
      </c>
      <c r="G14" s="1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H13"/>
  <sheetViews>
    <sheetView workbookViewId="0">
      <selection sqref="A1:F1"/>
    </sheetView>
  </sheetViews>
  <sheetFormatPr baseColWidth="10" defaultColWidth="8.83203125" defaultRowHeight="15" x14ac:dyDescent="0.2"/>
  <cols>
    <col min="2" max="2" width="15.83203125" bestFit="1" customWidth="1"/>
    <col min="5" max="5" width="11.1640625" bestFit="1" customWidth="1"/>
    <col min="6" max="6" width="11.5" bestFit="1" customWidth="1"/>
  </cols>
  <sheetData>
    <row r="1" spans="1:8" x14ac:dyDescent="0.2">
      <c r="A1" s="27" t="s">
        <v>78</v>
      </c>
      <c r="B1" s="28"/>
      <c r="C1" s="28"/>
      <c r="D1" s="28"/>
      <c r="E1" s="28"/>
      <c r="F1" s="28"/>
      <c r="G1" s="9"/>
      <c r="H1" s="9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8" x14ac:dyDescent="0.2">
      <c r="A3" s="2">
        <v>1</v>
      </c>
      <c r="B3" s="2" t="s">
        <v>10</v>
      </c>
      <c r="C3" s="2" t="s">
        <v>11</v>
      </c>
      <c r="D3" s="2">
        <v>1400</v>
      </c>
      <c r="E3" s="5">
        <v>46310</v>
      </c>
      <c r="F3" s="5">
        <v>46386</v>
      </c>
    </row>
    <row r="4" spans="1:8" x14ac:dyDescent="0.2">
      <c r="A4" s="2">
        <v>2</v>
      </c>
      <c r="B4" s="2" t="s">
        <v>12</v>
      </c>
      <c r="C4" s="2" t="s">
        <v>11</v>
      </c>
      <c r="D4" s="2">
        <v>1400</v>
      </c>
      <c r="E4" s="5">
        <v>46310</v>
      </c>
      <c r="F4" s="5">
        <v>46386</v>
      </c>
    </row>
    <row r="5" spans="1:8" x14ac:dyDescent="0.2">
      <c r="A5" s="2">
        <v>3</v>
      </c>
      <c r="B5" s="2" t="s">
        <v>13</v>
      </c>
      <c r="C5" s="2" t="s">
        <v>11</v>
      </c>
      <c r="D5" s="2">
        <v>360</v>
      </c>
      <c r="E5" s="5">
        <v>46371</v>
      </c>
      <c r="F5" s="5">
        <v>46417</v>
      </c>
    </row>
    <row r="6" spans="1:8" x14ac:dyDescent="0.2">
      <c r="A6" s="2">
        <v>4</v>
      </c>
      <c r="B6" s="2" t="s">
        <v>14</v>
      </c>
      <c r="C6" s="2" t="s">
        <v>11</v>
      </c>
      <c r="D6" s="2">
        <v>160</v>
      </c>
      <c r="E6" s="5">
        <v>46419</v>
      </c>
      <c r="F6" s="5">
        <v>46081</v>
      </c>
    </row>
    <row r="7" spans="1:8" x14ac:dyDescent="0.2">
      <c r="A7" s="2">
        <v>5</v>
      </c>
      <c r="B7" s="2" t="s">
        <v>15</v>
      </c>
      <c r="C7" s="2" t="s">
        <v>11</v>
      </c>
      <c r="D7" s="2">
        <v>160</v>
      </c>
      <c r="E7" s="5">
        <v>46447</v>
      </c>
      <c r="F7" s="5">
        <v>46456</v>
      </c>
    </row>
    <row r="8" spans="1:8" x14ac:dyDescent="0.2">
      <c r="A8" s="2">
        <v>6</v>
      </c>
      <c r="B8" s="2" t="s">
        <v>25</v>
      </c>
      <c r="C8" s="2" t="s">
        <v>21</v>
      </c>
      <c r="D8" s="2">
        <v>1050</v>
      </c>
      <c r="E8" s="5">
        <v>46458</v>
      </c>
      <c r="F8" s="5">
        <v>46142</v>
      </c>
    </row>
    <row r="9" spans="1:8" x14ac:dyDescent="0.2">
      <c r="A9" s="2">
        <v>12</v>
      </c>
      <c r="B9" s="2" t="s">
        <v>19</v>
      </c>
      <c r="C9" s="2" t="s">
        <v>35</v>
      </c>
      <c r="D9" s="2">
        <v>50</v>
      </c>
      <c r="E9" s="5">
        <v>46327</v>
      </c>
      <c r="F9" s="5">
        <v>46402</v>
      </c>
    </row>
    <row r="10" spans="1:8" x14ac:dyDescent="0.2">
      <c r="A10" s="2">
        <v>7</v>
      </c>
      <c r="B10" s="2" t="s">
        <v>20</v>
      </c>
      <c r="C10" s="2" t="s">
        <v>21</v>
      </c>
      <c r="D10" s="2">
        <v>600</v>
      </c>
      <c r="E10" s="5">
        <v>46327</v>
      </c>
      <c r="F10" s="5">
        <v>46402</v>
      </c>
    </row>
    <row r="11" spans="1:8" x14ac:dyDescent="0.2">
      <c r="A11" s="2">
        <v>8</v>
      </c>
      <c r="B11" s="2" t="s">
        <v>22</v>
      </c>
      <c r="C11" s="2" t="s">
        <v>23</v>
      </c>
      <c r="D11" s="2">
        <v>3</v>
      </c>
      <c r="E11" s="5">
        <v>46327</v>
      </c>
      <c r="F11" s="5">
        <v>46402</v>
      </c>
    </row>
    <row r="12" spans="1:8" x14ac:dyDescent="0.2">
      <c r="A12" s="2">
        <v>9</v>
      </c>
      <c r="B12" s="2" t="s">
        <v>24</v>
      </c>
      <c r="C12" s="2" t="s">
        <v>23</v>
      </c>
      <c r="D12" s="2">
        <v>0.5</v>
      </c>
      <c r="E12" s="5">
        <v>46327</v>
      </c>
      <c r="F12" s="5">
        <v>46402</v>
      </c>
    </row>
    <row r="13" spans="1:8" x14ac:dyDescent="0.2">
      <c r="A13" s="2">
        <v>11</v>
      </c>
      <c r="B13" s="2" t="s">
        <v>31</v>
      </c>
      <c r="C13" s="2" t="s">
        <v>32</v>
      </c>
      <c r="D13" s="2">
        <v>350</v>
      </c>
      <c r="E13" s="5">
        <v>46341</v>
      </c>
      <c r="F13" s="5">
        <v>46433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F10"/>
  <sheetViews>
    <sheetView workbookViewId="0">
      <selection activeCell="E26" sqref="E26"/>
    </sheetView>
  </sheetViews>
  <sheetFormatPr baseColWidth="10" defaultColWidth="16.6640625" defaultRowHeight="15" x14ac:dyDescent="0.2"/>
  <sheetData>
    <row r="1" spans="1:6" x14ac:dyDescent="0.2">
      <c r="A1" s="29" t="s">
        <v>79</v>
      </c>
      <c r="B1" s="30"/>
      <c r="C1" s="30"/>
      <c r="D1" s="30"/>
      <c r="E1" s="30"/>
      <c r="F1" s="30"/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>
        <v>1</v>
      </c>
      <c r="B3" s="2" t="s">
        <v>10</v>
      </c>
      <c r="C3" s="2" t="s">
        <v>11</v>
      </c>
      <c r="D3" s="2">
        <v>1000</v>
      </c>
      <c r="E3" s="5">
        <v>46327</v>
      </c>
      <c r="F3" s="5">
        <v>46366</v>
      </c>
    </row>
    <row r="4" spans="1:6" x14ac:dyDescent="0.2">
      <c r="A4" s="2">
        <v>2</v>
      </c>
      <c r="B4" s="2" t="s">
        <v>12</v>
      </c>
      <c r="C4" s="2" t="s">
        <v>11</v>
      </c>
      <c r="D4" s="2">
        <v>1000</v>
      </c>
      <c r="E4" s="5">
        <v>46327</v>
      </c>
      <c r="F4" s="5">
        <v>46366</v>
      </c>
    </row>
    <row r="5" spans="1:6" x14ac:dyDescent="0.2">
      <c r="A5" s="2">
        <v>3</v>
      </c>
      <c r="B5" s="2" t="s">
        <v>43</v>
      </c>
      <c r="C5" s="2" t="s">
        <v>21</v>
      </c>
      <c r="D5" s="2">
        <v>1200</v>
      </c>
      <c r="E5" s="5">
        <v>46351</v>
      </c>
      <c r="F5" s="5">
        <v>46368</v>
      </c>
    </row>
    <row r="6" spans="1:6" x14ac:dyDescent="0.2">
      <c r="A6" s="2">
        <v>4</v>
      </c>
      <c r="B6" s="2" t="s">
        <v>13</v>
      </c>
      <c r="C6" s="2" t="s">
        <v>11</v>
      </c>
      <c r="D6" s="2">
        <v>420</v>
      </c>
      <c r="E6" s="5">
        <v>46354</v>
      </c>
      <c r="F6" s="5">
        <v>46376</v>
      </c>
    </row>
    <row r="7" spans="1:6" x14ac:dyDescent="0.2">
      <c r="A7" s="2">
        <v>5</v>
      </c>
      <c r="B7" s="2" t="s">
        <v>14</v>
      </c>
      <c r="C7" s="2" t="s">
        <v>11</v>
      </c>
      <c r="D7" s="2">
        <v>180</v>
      </c>
      <c r="E7" s="5">
        <v>46361</v>
      </c>
      <c r="F7" s="5">
        <v>46381</v>
      </c>
    </row>
    <row r="8" spans="1:6" x14ac:dyDescent="0.2">
      <c r="A8" s="2">
        <v>6</v>
      </c>
      <c r="B8" s="2" t="s">
        <v>15</v>
      </c>
      <c r="C8" s="2" t="s">
        <v>11</v>
      </c>
      <c r="D8" s="2">
        <v>180</v>
      </c>
      <c r="E8" s="5">
        <v>46382</v>
      </c>
      <c r="F8" s="5">
        <v>46387</v>
      </c>
    </row>
    <row r="9" spans="1:6" x14ac:dyDescent="0.2">
      <c r="A9" s="2">
        <v>7</v>
      </c>
      <c r="B9" s="2" t="s">
        <v>25</v>
      </c>
      <c r="C9" s="2" t="s">
        <v>21</v>
      </c>
      <c r="D9" s="2">
        <v>1120</v>
      </c>
      <c r="E9" s="5">
        <v>46381</v>
      </c>
      <c r="F9" s="5">
        <v>46446</v>
      </c>
    </row>
    <row r="10" spans="1:6" x14ac:dyDescent="0.2">
      <c r="A10" s="2">
        <v>8</v>
      </c>
      <c r="B10" s="2" t="s">
        <v>44</v>
      </c>
      <c r="C10" s="2" t="s">
        <v>45</v>
      </c>
      <c r="D10" s="2">
        <v>380</v>
      </c>
      <c r="E10" s="5">
        <v>46376</v>
      </c>
      <c r="F10" s="5">
        <v>46451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F17"/>
  <sheetViews>
    <sheetView workbookViewId="0">
      <selection activeCell="D23" sqref="D23"/>
    </sheetView>
  </sheetViews>
  <sheetFormatPr baseColWidth="10" defaultColWidth="30" defaultRowHeight="15" x14ac:dyDescent="0.2"/>
  <cols>
    <col min="1" max="1" width="10.83203125" customWidth="1"/>
  </cols>
  <sheetData>
    <row r="1" spans="1:6" x14ac:dyDescent="0.2">
      <c r="A1" s="32" t="s">
        <v>80</v>
      </c>
      <c r="B1" s="33"/>
      <c r="C1" s="33"/>
      <c r="D1" s="33"/>
      <c r="E1" s="33"/>
      <c r="F1" s="33"/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>
        <v>1</v>
      </c>
      <c r="B3" s="2" t="s">
        <v>28</v>
      </c>
      <c r="C3" s="2" t="s">
        <v>11</v>
      </c>
      <c r="D3" s="2">
        <v>300</v>
      </c>
      <c r="E3" s="5">
        <v>46320</v>
      </c>
      <c r="F3" s="5">
        <v>46336</v>
      </c>
    </row>
    <row r="4" spans="1:6" x14ac:dyDescent="0.2">
      <c r="A4" s="2">
        <v>2</v>
      </c>
      <c r="B4" s="2" t="s">
        <v>10</v>
      </c>
      <c r="C4" s="2" t="s">
        <v>11</v>
      </c>
      <c r="D4" s="2">
        <v>2900</v>
      </c>
      <c r="E4" s="5">
        <v>46327</v>
      </c>
      <c r="F4" s="5">
        <v>46446</v>
      </c>
    </row>
    <row r="5" spans="1:6" x14ac:dyDescent="0.2">
      <c r="A5" s="2">
        <v>3</v>
      </c>
      <c r="B5" s="2" t="s">
        <v>12</v>
      </c>
      <c r="C5" s="2" t="s">
        <v>11</v>
      </c>
      <c r="D5" s="2">
        <v>3200</v>
      </c>
      <c r="E5" s="5">
        <v>46327</v>
      </c>
      <c r="F5" s="5">
        <v>46446</v>
      </c>
    </row>
    <row r="6" spans="1:6" x14ac:dyDescent="0.2">
      <c r="A6" s="2">
        <v>4</v>
      </c>
      <c r="B6" s="2" t="s">
        <v>41</v>
      </c>
      <c r="C6" s="2" t="s">
        <v>42</v>
      </c>
      <c r="D6" s="2">
        <v>2400</v>
      </c>
      <c r="E6" s="5">
        <v>46447</v>
      </c>
      <c r="F6" s="5">
        <v>46456</v>
      </c>
    </row>
    <row r="7" spans="1:6" x14ac:dyDescent="0.2">
      <c r="A7" s="2">
        <v>4</v>
      </c>
      <c r="B7" s="2" t="s">
        <v>13</v>
      </c>
      <c r="C7" s="2" t="s">
        <v>11</v>
      </c>
      <c r="D7" s="2">
        <v>830</v>
      </c>
      <c r="E7" s="5">
        <v>46371</v>
      </c>
      <c r="F7" s="5">
        <v>46451</v>
      </c>
    </row>
    <row r="8" spans="1:6" x14ac:dyDescent="0.2">
      <c r="A8" s="2">
        <v>5</v>
      </c>
      <c r="B8" s="2" t="s">
        <v>14</v>
      </c>
      <c r="C8" s="2" t="s">
        <v>11</v>
      </c>
      <c r="D8" s="2">
        <v>356</v>
      </c>
      <c r="E8" s="5">
        <v>46388</v>
      </c>
      <c r="F8" s="5">
        <v>46456</v>
      </c>
    </row>
    <row r="9" spans="1:6" x14ac:dyDescent="0.2">
      <c r="A9" s="2">
        <v>6</v>
      </c>
      <c r="B9" s="2" t="s">
        <v>15</v>
      </c>
      <c r="C9" s="2" t="s">
        <v>11</v>
      </c>
      <c r="D9" s="2">
        <v>356</v>
      </c>
      <c r="E9" s="5">
        <v>46407</v>
      </c>
      <c r="F9" s="5">
        <v>46476</v>
      </c>
    </row>
    <row r="10" spans="1:6" x14ac:dyDescent="0.2">
      <c r="A10" s="2">
        <v>7</v>
      </c>
      <c r="B10" s="2" t="s">
        <v>18</v>
      </c>
      <c r="C10" s="2" t="s">
        <v>11</v>
      </c>
      <c r="D10" s="2">
        <v>15</v>
      </c>
      <c r="E10" s="5">
        <v>46419</v>
      </c>
      <c r="F10" s="5">
        <v>46522</v>
      </c>
    </row>
    <row r="11" spans="1:6" x14ac:dyDescent="0.2">
      <c r="A11" s="2">
        <v>8</v>
      </c>
      <c r="B11" s="2" t="s">
        <v>16</v>
      </c>
      <c r="C11" s="2" t="s">
        <v>32</v>
      </c>
      <c r="D11" s="2">
        <v>100</v>
      </c>
      <c r="E11" s="5">
        <v>46341</v>
      </c>
      <c r="F11" s="5">
        <v>46402</v>
      </c>
    </row>
    <row r="12" spans="1:6" x14ac:dyDescent="0.2">
      <c r="A12" s="2">
        <v>8</v>
      </c>
      <c r="B12" s="2" t="s">
        <v>19</v>
      </c>
      <c r="C12" s="2" t="s">
        <v>11</v>
      </c>
      <c r="D12" s="2">
        <v>380</v>
      </c>
      <c r="E12" s="5">
        <v>46419</v>
      </c>
      <c r="F12" s="5">
        <v>46522</v>
      </c>
    </row>
    <row r="13" spans="1:6" x14ac:dyDescent="0.2">
      <c r="A13" s="2">
        <v>9</v>
      </c>
      <c r="B13" s="2" t="s">
        <v>20</v>
      </c>
      <c r="C13" s="2" t="s">
        <v>21</v>
      </c>
      <c r="D13" s="2">
        <v>1000</v>
      </c>
      <c r="E13" s="5">
        <v>46419</v>
      </c>
      <c r="F13" s="5">
        <v>46522</v>
      </c>
    </row>
    <row r="14" spans="1:6" x14ac:dyDescent="0.2">
      <c r="A14" s="2">
        <v>10</v>
      </c>
      <c r="B14" s="2" t="s">
        <v>22</v>
      </c>
      <c r="C14" s="2" t="s">
        <v>23</v>
      </c>
      <c r="D14" s="2">
        <v>30</v>
      </c>
      <c r="E14" s="5">
        <v>46419</v>
      </c>
      <c r="F14" s="5">
        <v>46522</v>
      </c>
    </row>
    <row r="15" spans="1:6" x14ac:dyDescent="0.2">
      <c r="A15" s="2">
        <v>11</v>
      </c>
      <c r="B15" s="2" t="s">
        <v>24</v>
      </c>
      <c r="C15" s="2" t="s">
        <v>23</v>
      </c>
      <c r="D15" s="2">
        <v>0.5</v>
      </c>
      <c r="E15" s="5">
        <v>46419</v>
      </c>
      <c r="F15" s="5">
        <v>46522</v>
      </c>
    </row>
    <row r="16" spans="1:6" x14ac:dyDescent="0.2">
      <c r="A16" s="2">
        <v>12</v>
      </c>
      <c r="B16" s="2" t="s">
        <v>27</v>
      </c>
      <c r="C16" s="2" t="s">
        <v>21</v>
      </c>
      <c r="D16" s="2">
        <v>540</v>
      </c>
      <c r="E16" s="5">
        <v>46419</v>
      </c>
      <c r="F16" s="5">
        <v>46522</v>
      </c>
    </row>
    <row r="17" spans="1:6" x14ac:dyDescent="0.2">
      <c r="A17" s="2">
        <v>13</v>
      </c>
      <c r="B17" s="2" t="s">
        <v>37</v>
      </c>
      <c r="C17" s="2" t="s">
        <v>32</v>
      </c>
      <c r="D17" s="2">
        <v>400</v>
      </c>
      <c r="E17" s="5">
        <v>46461</v>
      </c>
      <c r="F17" s="5">
        <v>46537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F13"/>
  <sheetViews>
    <sheetView workbookViewId="0">
      <selection activeCell="H5" sqref="H5"/>
    </sheetView>
  </sheetViews>
  <sheetFormatPr baseColWidth="10" defaultColWidth="14.33203125" defaultRowHeight="15" x14ac:dyDescent="0.2"/>
  <sheetData>
    <row r="1" spans="1:6" x14ac:dyDescent="0.2">
      <c r="A1" s="31" t="s">
        <v>81</v>
      </c>
      <c r="B1" s="31"/>
      <c r="C1" s="31"/>
      <c r="D1" s="31"/>
      <c r="E1" s="31"/>
      <c r="F1" s="31"/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>
        <v>1</v>
      </c>
      <c r="B3" s="2" t="s">
        <v>10</v>
      </c>
      <c r="C3" s="2" t="s">
        <v>11</v>
      </c>
      <c r="D3" s="2">
        <v>400</v>
      </c>
      <c r="E3" s="5">
        <v>46363</v>
      </c>
      <c r="F3" s="5">
        <v>46371</v>
      </c>
    </row>
    <row r="4" spans="1:6" x14ac:dyDescent="0.2">
      <c r="A4" s="2">
        <v>2</v>
      </c>
      <c r="B4" s="2" t="s">
        <v>12</v>
      </c>
      <c r="C4" s="2" t="s">
        <v>11</v>
      </c>
      <c r="D4" s="2">
        <v>400</v>
      </c>
      <c r="E4" s="5">
        <v>46363</v>
      </c>
      <c r="F4" s="5">
        <v>46371</v>
      </c>
    </row>
    <row r="5" spans="1:6" x14ac:dyDescent="0.2">
      <c r="A5" s="2">
        <v>3</v>
      </c>
      <c r="B5" s="2" t="s">
        <v>47</v>
      </c>
      <c r="C5" s="2" t="s">
        <v>48</v>
      </c>
      <c r="D5" s="2">
        <v>400</v>
      </c>
      <c r="E5" s="5">
        <v>46372</v>
      </c>
      <c r="F5" s="5">
        <v>46375</v>
      </c>
    </row>
    <row r="6" spans="1:6" x14ac:dyDescent="0.2">
      <c r="A6" s="2">
        <v>3</v>
      </c>
      <c r="B6" s="2" t="s">
        <v>13</v>
      </c>
      <c r="C6" s="2" t="s">
        <v>11</v>
      </c>
      <c r="D6" s="2">
        <v>120</v>
      </c>
      <c r="E6" s="5">
        <v>46377</v>
      </c>
      <c r="F6" s="5">
        <v>46382</v>
      </c>
    </row>
    <row r="7" spans="1:6" x14ac:dyDescent="0.2">
      <c r="A7" s="2">
        <v>4</v>
      </c>
      <c r="B7" s="2" t="s">
        <v>14</v>
      </c>
      <c r="C7" s="2" t="s">
        <v>11</v>
      </c>
      <c r="D7" s="2">
        <v>60</v>
      </c>
      <c r="E7" s="5">
        <v>46384</v>
      </c>
      <c r="F7" s="5">
        <v>46387</v>
      </c>
    </row>
    <row r="8" spans="1:6" x14ac:dyDescent="0.2">
      <c r="A8" s="2">
        <v>5</v>
      </c>
      <c r="B8" s="2" t="s">
        <v>15</v>
      </c>
      <c r="C8" s="2" t="s">
        <v>11</v>
      </c>
      <c r="D8" s="2">
        <v>60</v>
      </c>
      <c r="E8" s="5">
        <v>46388</v>
      </c>
      <c r="F8" s="5">
        <v>46393</v>
      </c>
    </row>
    <row r="9" spans="1:6" x14ac:dyDescent="0.2">
      <c r="A9" s="2">
        <v>6</v>
      </c>
      <c r="B9" s="2" t="s">
        <v>19</v>
      </c>
      <c r="C9" s="2" t="s">
        <v>11</v>
      </c>
      <c r="D9" s="2">
        <v>80</v>
      </c>
      <c r="E9" s="5">
        <v>46398</v>
      </c>
      <c r="F9" s="5">
        <v>46438</v>
      </c>
    </row>
    <row r="10" spans="1:6" x14ac:dyDescent="0.2">
      <c r="A10" s="2">
        <v>7</v>
      </c>
      <c r="B10" s="2" t="s">
        <v>20</v>
      </c>
      <c r="C10" s="2" t="s">
        <v>21</v>
      </c>
      <c r="D10" s="2">
        <v>72</v>
      </c>
      <c r="E10" s="5">
        <v>46398</v>
      </c>
      <c r="F10" s="5">
        <v>46438</v>
      </c>
    </row>
    <row r="11" spans="1:6" x14ac:dyDescent="0.2">
      <c r="A11" s="2">
        <v>8</v>
      </c>
      <c r="B11" s="2" t="s">
        <v>22</v>
      </c>
      <c r="C11" s="2" t="s">
        <v>23</v>
      </c>
      <c r="D11" s="2">
        <v>5</v>
      </c>
      <c r="E11" s="5">
        <v>46398</v>
      </c>
      <c r="F11" s="5">
        <v>46438</v>
      </c>
    </row>
    <row r="12" spans="1:6" x14ac:dyDescent="0.2">
      <c r="A12" s="2">
        <v>9</v>
      </c>
      <c r="B12" s="2" t="s">
        <v>27</v>
      </c>
      <c r="C12" s="2" t="s">
        <v>21</v>
      </c>
      <c r="D12" s="2">
        <v>72</v>
      </c>
      <c r="E12" s="5">
        <v>46398</v>
      </c>
      <c r="F12" s="5">
        <v>46438</v>
      </c>
    </row>
    <row r="13" spans="1:6" x14ac:dyDescent="0.2">
      <c r="A13" s="2">
        <v>10</v>
      </c>
      <c r="B13" s="2" t="s">
        <v>37</v>
      </c>
      <c r="C13" s="2" t="s">
        <v>46</v>
      </c>
      <c r="D13" s="2">
        <v>200</v>
      </c>
      <c r="E13" s="5">
        <v>46419</v>
      </c>
      <c r="F13" s="5">
        <v>46077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F12"/>
  <sheetViews>
    <sheetView workbookViewId="0">
      <selection activeCell="G14" sqref="G14"/>
    </sheetView>
  </sheetViews>
  <sheetFormatPr baseColWidth="10" defaultColWidth="8.83203125" defaultRowHeight="15" x14ac:dyDescent="0.2"/>
  <cols>
    <col min="2" max="2" width="19.83203125" customWidth="1"/>
    <col min="5" max="5" width="11.1640625" bestFit="1" customWidth="1"/>
    <col min="6" max="6" width="11.5" bestFit="1" customWidth="1"/>
  </cols>
  <sheetData>
    <row r="1" spans="1:6" x14ac:dyDescent="0.2">
      <c r="A1" s="11" t="s">
        <v>82</v>
      </c>
      <c r="B1" s="11"/>
      <c r="C1" s="11"/>
      <c r="D1" s="11"/>
      <c r="E1" s="11"/>
      <c r="F1" s="11"/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6">
        <v>1</v>
      </c>
      <c r="B3" s="6" t="s">
        <v>53</v>
      </c>
      <c r="C3" s="6" t="s">
        <v>35</v>
      </c>
      <c r="D3" s="6">
        <v>150</v>
      </c>
      <c r="E3" s="13">
        <v>46300</v>
      </c>
      <c r="F3" s="13">
        <v>46305</v>
      </c>
    </row>
    <row r="4" spans="1:6" x14ac:dyDescent="0.2">
      <c r="A4" s="2">
        <v>1</v>
      </c>
      <c r="B4" s="2" t="s">
        <v>10</v>
      </c>
      <c r="C4" s="2" t="s">
        <v>11</v>
      </c>
      <c r="D4" s="2">
        <v>450</v>
      </c>
      <c r="E4" s="13">
        <v>46300</v>
      </c>
      <c r="F4" s="13">
        <v>46307</v>
      </c>
    </row>
    <row r="5" spans="1:6" x14ac:dyDescent="0.2">
      <c r="A5" s="2">
        <v>2</v>
      </c>
      <c r="B5" s="2" t="s">
        <v>12</v>
      </c>
      <c r="C5" s="2" t="s">
        <v>11</v>
      </c>
      <c r="D5" s="2">
        <v>450</v>
      </c>
      <c r="E5" s="13">
        <v>46300</v>
      </c>
      <c r="F5" s="13">
        <v>46307</v>
      </c>
    </row>
    <row r="6" spans="1:6" x14ac:dyDescent="0.2">
      <c r="A6" s="2">
        <v>3</v>
      </c>
      <c r="B6" s="2" t="s">
        <v>14</v>
      </c>
      <c r="C6" s="2" t="s">
        <v>11</v>
      </c>
      <c r="D6" s="2">
        <v>120</v>
      </c>
      <c r="E6" s="5">
        <v>46308</v>
      </c>
      <c r="F6" s="5">
        <v>46321</v>
      </c>
    </row>
    <row r="7" spans="1:6" x14ac:dyDescent="0.2">
      <c r="A7" s="2">
        <v>4</v>
      </c>
      <c r="B7" s="2" t="s">
        <v>18</v>
      </c>
      <c r="C7" s="2" t="s">
        <v>11</v>
      </c>
      <c r="D7" s="2">
        <v>120</v>
      </c>
      <c r="E7" s="5">
        <v>46323</v>
      </c>
      <c r="F7" s="5">
        <v>46336</v>
      </c>
    </row>
    <row r="8" spans="1:6" x14ac:dyDescent="0.2">
      <c r="A8" s="2">
        <v>5</v>
      </c>
      <c r="B8" s="2" t="s">
        <v>19</v>
      </c>
      <c r="C8" s="2" t="s">
        <v>11</v>
      </c>
      <c r="D8" s="2">
        <v>250</v>
      </c>
      <c r="E8" s="5">
        <v>46328</v>
      </c>
      <c r="F8" s="5">
        <v>46386</v>
      </c>
    </row>
    <row r="9" spans="1:6" x14ac:dyDescent="0.2">
      <c r="A9" s="2">
        <v>6</v>
      </c>
      <c r="B9" s="2" t="s">
        <v>20</v>
      </c>
      <c r="C9" s="2" t="s">
        <v>21</v>
      </c>
      <c r="D9" s="2">
        <v>220</v>
      </c>
      <c r="E9" s="5">
        <v>46328</v>
      </c>
      <c r="F9" s="5">
        <v>46386</v>
      </c>
    </row>
    <row r="10" spans="1:6" x14ac:dyDescent="0.2">
      <c r="A10" s="2">
        <v>7</v>
      </c>
      <c r="B10" s="2" t="s">
        <v>22</v>
      </c>
      <c r="C10" s="2" t="s">
        <v>23</v>
      </c>
      <c r="D10" s="2">
        <v>11</v>
      </c>
      <c r="E10" s="5">
        <v>46328</v>
      </c>
      <c r="F10" s="5">
        <v>46386</v>
      </c>
    </row>
    <row r="11" spans="1:6" x14ac:dyDescent="0.2">
      <c r="A11" s="2">
        <v>8</v>
      </c>
      <c r="B11" s="2" t="s">
        <v>27</v>
      </c>
      <c r="C11" s="2" t="s">
        <v>21</v>
      </c>
      <c r="D11" s="2">
        <v>200</v>
      </c>
      <c r="E11" s="5">
        <v>46328</v>
      </c>
      <c r="F11" s="5">
        <v>46386</v>
      </c>
    </row>
    <row r="12" spans="1:6" x14ac:dyDescent="0.2">
      <c r="A12" s="2">
        <v>9</v>
      </c>
      <c r="B12" s="2" t="s">
        <v>37</v>
      </c>
      <c r="C12" s="2" t="s">
        <v>32</v>
      </c>
      <c r="D12" s="2">
        <v>200</v>
      </c>
      <c r="E12" s="5">
        <v>46357</v>
      </c>
      <c r="F12" s="5">
        <v>46397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F10"/>
  <sheetViews>
    <sheetView workbookViewId="0">
      <selection activeCell="A2" sqref="A2:F10"/>
    </sheetView>
  </sheetViews>
  <sheetFormatPr baseColWidth="10" defaultColWidth="8.83203125" defaultRowHeight="15" x14ac:dyDescent="0.2"/>
  <cols>
    <col min="2" max="2" width="22.33203125" customWidth="1"/>
    <col min="5" max="5" width="11.1640625" bestFit="1" customWidth="1"/>
    <col min="6" max="6" width="11.5" bestFit="1" customWidth="1"/>
  </cols>
  <sheetData>
    <row r="1" spans="1:6" x14ac:dyDescent="0.2">
      <c r="A1" s="15" t="s">
        <v>55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>
        <v>1</v>
      </c>
      <c r="B3" s="2" t="s">
        <v>10</v>
      </c>
      <c r="C3" s="2" t="s">
        <v>11</v>
      </c>
      <c r="D3" s="2">
        <v>3000</v>
      </c>
      <c r="E3" s="5">
        <v>46492</v>
      </c>
      <c r="F3" s="5">
        <v>46568</v>
      </c>
    </row>
    <row r="4" spans="1:6" x14ac:dyDescent="0.2">
      <c r="A4" s="2">
        <v>2</v>
      </c>
      <c r="B4" s="2" t="s">
        <v>12</v>
      </c>
      <c r="C4" s="2" t="s">
        <v>11</v>
      </c>
      <c r="D4" s="2">
        <v>3000</v>
      </c>
      <c r="E4" s="5">
        <v>46492</v>
      </c>
      <c r="F4" s="5">
        <v>46568</v>
      </c>
    </row>
    <row r="5" spans="1:6" x14ac:dyDescent="0.2">
      <c r="A5" s="2">
        <v>3</v>
      </c>
      <c r="B5" s="2" t="s">
        <v>56</v>
      </c>
      <c r="C5" s="2" t="s">
        <v>57</v>
      </c>
      <c r="D5" s="2">
        <v>2800</v>
      </c>
      <c r="E5" s="5">
        <v>46537</v>
      </c>
      <c r="F5" s="5">
        <v>46571</v>
      </c>
    </row>
    <row r="6" spans="1:6" x14ac:dyDescent="0.2">
      <c r="A6" s="2">
        <v>3</v>
      </c>
      <c r="B6" s="2" t="s">
        <v>13</v>
      </c>
      <c r="C6" s="2" t="s">
        <v>11</v>
      </c>
      <c r="D6" s="2">
        <v>850</v>
      </c>
      <c r="E6" s="5">
        <v>46553</v>
      </c>
      <c r="F6" s="5">
        <v>46598</v>
      </c>
    </row>
    <row r="7" spans="1:6" x14ac:dyDescent="0.2">
      <c r="A7" s="2">
        <v>4</v>
      </c>
      <c r="B7" s="2" t="s">
        <v>14</v>
      </c>
      <c r="C7" s="2" t="s">
        <v>11</v>
      </c>
      <c r="D7" s="2">
        <v>450</v>
      </c>
      <c r="E7" s="5">
        <v>46588</v>
      </c>
      <c r="F7" s="5">
        <v>46609</v>
      </c>
    </row>
    <row r="8" spans="1:6" x14ac:dyDescent="0.2">
      <c r="A8" s="2">
        <v>5</v>
      </c>
      <c r="B8" s="2" t="s">
        <v>15</v>
      </c>
      <c r="C8" s="2" t="s">
        <v>11</v>
      </c>
      <c r="D8" s="2">
        <v>450</v>
      </c>
      <c r="E8" s="5">
        <v>46600</v>
      </c>
      <c r="F8" s="5">
        <v>46629</v>
      </c>
    </row>
    <row r="9" spans="1:6" x14ac:dyDescent="0.2">
      <c r="A9" s="2">
        <v>6</v>
      </c>
      <c r="B9" s="2" t="s">
        <v>25</v>
      </c>
      <c r="C9" s="2" t="s">
        <v>21</v>
      </c>
      <c r="D9" s="2">
        <v>2800</v>
      </c>
      <c r="E9" s="5">
        <v>46631</v>
      </c>
      <c r="F9" s="5">
        <v>46751</v>
      </c>
    </row>
    <row r="10" spans="1:6" x14ac:dyDescent="0.2">
      <c r="A10" s="2">
        <v>7</v>
      </c>
      <c r="B10" s="2" t="s">
        <v>44</v>
      </c>
      <c r="C10" s="2" t="s">
        <v>32</v>
      </c>
      <c r="D10" s="2">
        <v>750</v>
      </c>
      <c r="E10" s="5">
        <v>46706</v>
      </c>
      <c r="F10" s="5">
        <v>46767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G11"/>
  <sheetViews>
    <sheetView workbookViewId="0">
      <selection activeCell="A2" sqref="A2:F10"/>
    </sheetView>
  </sheetViews>
  <sheetFormatPr baseColWidth="10" defaultColWidth="8.83203125" defaultRowHeight="15" x14ac:dyDescent="0.2"/>
  <cols>
    <col min="2" max="2" width="15.83203125" bestFit="1" customWidth="1"/>
    <col min="5" max="5" width="18.6640625" customWidth="1"/>
    <col min="6" max="6" width="11.5" bestFit="1" customWidth="1"/>
  </cols>
  <sheetData>
    <row r="1" spans="1:7" x14ac:dyDescent="0.2">
      <c r="A1" s="19" t="s">
        <v>75</v>
      </c>
      <c r="B1" s="20"/>
      <c r="C1" s="20"/>
      <c r="D1" s="20"/>
      <c r="E1" s="20"/>
      <c r="F1" s="20"/>
      <c r="G1" s="20"/>
    </row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/>
    </row>
    <row r="3" spans="1:7" x14ac:dyDescent="0.2">
      <c r="A3" s="2">
        <v>1</v>
      </c>
      <c r="B3" s="2" t="s">
        <v>10</v>
      </c>
      <c r="C3" s="2" t="s">
        <v>11</v>
      </c>
      <c r="D3" s="2">
        <v>1800</v>
      </c>
      <c r="E3" s="5">
        <v>46296</v>
      </c>
      <c r="F3" s="5">
        <v>46325</v>
      </c>
      <c r="G3" s="2"/>
    </row>
    <row r="4" spans="1:7" x14ac:dyDescent="0.2">
      <c r="A4" s="2">
        <v>2</v>
      </c>
      <c r="B4" s="2" t="s">
        <v>12</v>
      </c>
      <c r="C4" s="2" t="s">
        <v>11</v>
      </c>
      <c r="D4" s="2">
        <v>1800</v>
      </c>
      <c r="E4" s="5">
        <v>46296</v>
      </c>
      <c r="F4" s="5">
        <v>46325</v>
      </c>
      <c r="G4" s="2"/>
    </row>
    <row r="5" spans="1:7" x14ac:dyDescent="0.2">
      <c r="A5" s="2">
        <v>3</v>
      </c>
      <c r="B5" s="2" t="s">
        <v>13</v>
      </c>
      <c r="C5" s="2" t="s">
        <v>11</v>
      </c>
      <c r="D5" s="2">
        <v>540</v>
      </c>
      <c r="E5" s="5">
        <v>46315</v>
      </c>
      <c r="F5" s="5">
        <v>46336</v>
      </c>
      <c r="G5" s="2"/>
    </row>
    <row r="6" spans="1:7" x14ac:dyDescent="0.2">
      <c r="A6" s="2">
        <v>4</v>
      </c>
      <c r="B6" s="2" t="s">
        <v>14</v>
      </c>
      <c r="C6" s="2" t="s">
        <v>11</v>
      </c>
      <c r="D6" s="2">
        <v>230</v>
      </c>
      <c r="E6" s="5">
        <v>46331</v>
      </c>
      <c r="F6" s="5">
        <v>46340</v>
      </c>
      <c r="G6" s="2"/>
    </row>
    <row r="7" spans="1:7" x14ac:dyDescent="0.2">
      <c r="A7" s="2">
        <v>5</v>
      </c>
      <c r="B7" s="2" t="s">
        <v>15</v>
      </c>
      <c r="C7" s="2" t="s">
        <v>11</v>
      </c>
      <c r="D7" s="2">
        <v>230</v>
      </c>
      <c r="E7" s="5">
        <v>46342</v>
      </c>
      <c r="F7" s="5">
        <v>46356</v>
      </c>
      <c r="G7" s="2"/>
    </row>
    <row r="8" spans="1:7" x14ac:dyDescent="0.2">
      <c r="A8" s="2">
        <v>6</v>
      </c>
      <c r="B8" s="2" t="s">
        <v>16</v>
      </c>
      <c r="C8" s="2" t="s">
        <v>17</v>
      </c>
      <c r="D8" s="2">
        <v>120</v>
      </c>
      <c r="E8" s="5">
        <v>46300</v>
      </c>
      <c r="F8" s="5">
        <v>46356</v>
      </c>
      <c r="G8" s="2"/>
    </row>
    <row r="9" spans="1:7" x14ac:dyDescent="0.2">
      <c r="A9" s="2">
        <v>7</v>
      </c>
      <c r="B9" s="2" t="s">
        <v>25</v>
      </c>
      <c r="C9" s="2" t="s">
        <v>21</v>
      </c>
      <c r="D9" s="2">
        <v>1540</v>
      </c>
      <c r="E9" s="5">
        <v>46363</v>
      </c>
      <c r="F9" s="5">
        <v>46445</v>
      </c>
      <c r="G9" s="2"/>
    </row>
    <row r="10" spans="1:7" x14ac:dyDescent="0.2">
      <c r="A10" s="2">
        <v>8</v>
      </c>
      <c r="B10" s="2" t="s">
        <v>31</v>
      </c>
      <c r="C10" s="2" t="s">
        <v>32</v>
      </c>
      <c r="D10" s="2">
        <v>220</v>
      </c>
      <c r="E10" s="5">
        <v>46356</v>
      </c>
      <c r="F10" s="5">
        <v>46402</v>
      </c>
      <c r="G10" s="2"/>
    </row>
    <row r="11" spans="1:7" x14ac:dyDescent="0.2">
      <c r="A11" s="7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F14"/>
  <sheetViews>
    <sheetView workbookViewId="0">
      <selection activeCell="A2" sqref="A2:F10"/>
    </sheetView>
  </sheetViews>
  <sheetFormatPr baseColWidth="10" defaultColWidth="8.83203125" defaultRowHeight="15" x14ac:dyDescent="0.2"/>
  <cols>
    <col min="2" max="2" width="20.83203125" customWidth="1"/>
    <col min="5" max="5" width="11.1640625" bestFit="1" customWidth="1"/>
    <col min="6" max="6" width="20.33203125" customWidth="1"/>
  </cols>
  <sheetData>
    <row r="1" spans="1:6" x14ac:dyDescent="0.2">
      <c r="A1" s="16" t="s">
        <v>58</v>
      </c>
      <c r="B1" s="17"/>
      <c r="C1" s="18"/>
      <c r="D1" s="18"/>
      <c r="E1" s="18"/>
      <c r="F1" s="18"/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>
        <v>1</v>
      </c>
      <c r="B3" s="2" t="s">
        <v>10</v>
      </c>
      <c r="C3" s="2" t="s">
        <v>11</v>
      </c>
      <c r="D3" s="2">
        <v>1450</v>
      </c>
      <c r="E3" s="5">
        <v>46026</v>
      </c>
      <c r="F3" s="5">
        <v>46438</v>
      </c>
    </row>
    <row r="4" spans="1:6" x14ac:dyDescent="0.2">
      <c r="A4" s="2">
        <v>2</v>
      </c>
      <c r="B4" s="2" t="s">
        <v>12</v>
      </c>
      <c r="C4" s="2" t="s">
        <v>11</v>
      </c>
      <c r="D4" s="2">
        <v>1450</v>
      </c>
      <c r="E4" s="5">
        <v>46026</v>
      </c>
      <c r="F4" s="5">
        <v>46438</v>
      </c>
    </row>
    <row r="5" spans="1:6" x14ac:dyDescent="0.2">
      <c r="A5" s="2">
        <v>3</v>
      </c>
      <c r="B5" s="2" t="s">
        <v>56</v>
      </c>
      <c r="C5" s="2" t="s">
        <v>57</v>
      </c>
      <c r="D5" s="2">
        <v>1085</v>
      </c>
      <c r="E5" s="5">
        <v>46440</v>
      </c>
      <c r="F5" s="5">
        <v>46451</v>
      </c>
    </row>
    <row r="6" spans="1:6" x14ac:dyDescent="0.2">
      <c r="A6" s="2">
        <v>3</v>
      </c>
      <c r="B6" s="2" t="s">
        <v>13</v>
      </c>
      <c r="C6" s="2" t="s">
        <v>11</v>
      </c>
      <c r="D6" s="2">
        <v>350</v>
      </c>
      <c r="E6" s="5">
        <v>46454</v>
      </c>
      <c r="F6" s="5">
        <v>46487</v>
      </c>
    </row>
    <row r="7" spans="1:6" x14ac:dyDescent="0.2">
      <c r="A7" s="2">
        <v>4</v>
      </c>
      <c r="B7" s="2" t="s">
        <v>14</v>
      </c>
      <c r="C7" s="2" t="s">
        <v>11</v>
      </c>
      <c r="D7" s="2">
        <v>165</v>
      </c>
      <c r="E7" s="5">
        <v>46487</v>
      </c>
      <c r="F7" s="5">
        <v>46507</v>
      </c>
    </row>
    <row r="8" spans="1:6" x14ac:dyDescent="0.2">
      <c r="A8" s="2">
        <v>5</v>
      </c>
      <c r="B8" s="2" t="s">
        <v>15</v>
      </c>
      <c r="C8" s="2" t="s">
        <v>11</v>
      </c>
      <c r="D8" s="2">
        <v>165</v>
      </c>
      <c r="E8" s="5">
        <v>46510</v>
      </c>
      <c r="F8" s="5">
        <v>46529</v>
      </c>
    </row>
    <row r="9" spans="1:6" x14ac:dyDescent="0.2">
      <c r="A9" s="2">
        <v>6</v>
      </c>
      <c r="B9" s="2" t="s">
        <v>19</v>
      </c>
      <c r="C9" s="2" t="s">
        <v>11</v>
      </c>
      <c r="D9" s="2">
        <v>250</v>
      </c>
      <c r="E9" s="5">
        <v>46539</v>
      </c>
      <c r="F9" s="5">
        <v>46629</v>
      </c>
    </row>
    <row r="10" spans="1:6" x14ac:dyDescent="0.2">
      <c r="A10" s="2">
        <v>6</v>
      </c>
      <c r="B10" s="2" t="s">
        <v>20</v>
      </c>
      <c r="C10" s="2" t="s">
        <v>21</v>
      </c>
      <c r="D10" s="2">
        <v>400</v>
      </c>
      <c r="E10" s="5">
        <v>46539</v>
      </c>
      <c r="F10" s="5">
        <v>46629</v>
      </c>
    </row>
    <row r="11" spans="1:6" x14ac:dyDescent="0.2">
      <c r="A11" s="2">
        <v>7</v>
      </c>
      <c r="B11" s="2" t="s">
        <v>59</v>
      </c>
      <c r="C11" s="2" t="s">
        <v>23</v>
      </c>
      <c r="D11" s="2">
        <v>14</v>
      </c>
      <c r="E11" s="5">
        <v>46539</v>
      </c>
      <c r="F11" s="5">
        <v>46629</v>
      </c>
    </row>
    <row r="12" spans="1:6" x14ac:dyDescent="0.2">
      <c r="A12" s="2">
        <v>8</v>
      </c>
      <c r="B12" s="2" t="s">
        <v>60</v>
      </c>
      <c r="C12" s="2" t="s">
        <v>23</v>
      </c>
      <c r="D12" s="2">
        <v>0.5</v>
      </c>
      <c r="E12" s="5">
        <v>46539</v>
      </c>
      <c r="F12" s="5">
        <v>46629</v>
      </c>
    </row>
    <row r="13" spans="1:6" x14ac:dyDescent="0.2">
      <c r="A13" s="2">
        <v>9</v>
      </c>
      <c r="B13" s="2" t="s">
        <v>27</v>
      </c>
      <c r="C13" s="2" t="s">
        <v>48</v>
      </c>
      <c r="D13" s="2">
        <v>185</v>
      </c>
      <c r="E13" s="5">
        <v>46539</v>
      </c>
      <c r="F13" s="5">
        <v>46629</v>
      </c>
    </row>
    <row r="14" spans="1:6" x14ac:dyDescent="0.2">
      <c r="A14" s="2">
        <v>10</v>
      </c>
      <c r="B14" s="2" t="s">
        <v>44</v>
      </c>
      <c r="C14" s="2" t="s">
        <v>32</v>
      </c>
      <c r="D14" s="2">
        <v>260</v>
      </c>
      <c r="E14" s="5">
        <v>46624</v>
      </c>
      <c r="F14" s="5">
        <v>46660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Road 1 - IBMD Sarpa MRP Interna</vt:lpstr>
      <vt:lpstr>Road 2 - PSW Approach Roads</vt:lpstr>
      <vt:lpstr>Road 3 - SMS2 Ramp Side</vt:lpstr>
      <vt:lpstr>Road 4 - SMS2 Briquetting Side</vt:lpstr>
      <vt:lpstr>Road 5 - RMPP Emer Feeding shed</vt:lpstr>
      <vt:lpstr>Road 6 - RMPP Emergency Feeding</vt:lpstr>
      <vt:lpstr>Road 7 - RMPP Coal Shed-2</vt:lpstr>
      <vt:lpstr>Road 8 - RMHS Coking Coal Yard</vt:lpstr>
      <vt:lpstr>Road 9 - BF2 Ramp Area</vt:lpstr>
      <vt:lpstr>Road 10 - BF2 Bin Building</vt:lpstr>
      <vt:lpstr>Road 11 - CMM SMS1 Assembly</vt:lpstr>
      <vt:lpstr>Road 12 - CMM SMS1 Machine Shop</vt:lpstr>
      <vt:lpstr>Road 13 - Torpedo Rail Track</vt:lpstr>
      <vt:lpstr>Road 14 - HSM Gate16</vt:lpstr>
      <vt:lpstr>Road 15 - RMPP Rail Siding</vt:lpstr>
      <vt:lpstr>Road 16 - Sales Yard MRP</vt:lpstr>
      <vt:lpstr>Road 17 - Slag Yard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Sanjaya Kumar Rath</dc:creator>
  <cp:keywords/>
  <dc:description/>
  <cp:lastModifiedBy>Sandeep Kumar Panda</cp:lastModifiedBy>
  <cp:revision/>
  <dcterms:created xsi:type="dcterms:W3CDTF">2026-10-01T06:01:54Z</dcterms:created>
  <dcterms:modified xsi:type="dcterms:W3CDTF">2026-10-04T06:44:44Z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2026-10-01T06:01:54Z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0098f84e-13a5-4dc2-a624-f366ab3aad3d</vt:lpwstr>
  </property>
  <property fmtid="{D5CDD505-2E9C-101B-9397-08002B2CF9AE}" pid="8" name="MSIP_Label_2f50afb6-ab6e-4e8b-96b5-6e00ab52e29e_ContentBits">
    <vt:lpwstr>0</vt:lpwstr>
  </property>
</Properties>
</file>