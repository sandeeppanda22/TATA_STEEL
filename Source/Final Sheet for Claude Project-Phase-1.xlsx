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ndeep.panda03/Documents/TATA_STEEL/Source/"/>
    </mc:Choice>
  </mc:AlternateContent>
  <xr:revisionPtr revIDLastSave="0" documentId="13_ncr:1_{B101564C-6A3F-284C-9565-0E1241440FBD}" xr6:coauthVersionLast="47" xr6:coauthVersionMax="47" xr10:uidLastSave="{00000000-0000-0000-0000-000000000000}"/>
  <bookViews>
    <workbookView xWindow="16060" yWindow="660" windowWidth="14180" windowHeight="17260" xr2:uid="{00000000-000D-0000-FFFF-FFFF00000000}"/>
  </bookViews>
  <sheets>
    <sheet name="Phase- Summary" sheetId="18" r:id="rId1"/>
    <sheet name="Road 1 - IBMD Sarpa MRP Interna" sheetId="1" r:id="rId2"/>
    <sheet name="Road 2 - PSW Approach Roads" sheetId="2" r:id="rId3"/>
    <sheet name="Road 3 - SMS2 Ramp Side" sheetId="3" r:id="rId4"/>
    <sheet name="Road 4 - SMS2 Briquetting Side" sheetId="4" r:id="rId5"/>
    <sheet name="Road 5 - RMPP Emer Feeding area" sheetId="5" r:id="rId6"/>
    <sheet name="Road 6 - RMPP Emergency Feeding" sheetId="6" r:id="rId7"/>
    <sheet name="Road 7 - RMPP Coal Shed-2" sheetId="7" r:id="rId8"/>
    <sheet name="Road 8 - RMHS Coking Coal Yard" sheetId="8" r:id="rId9"/>
    <sheet name="Road 9 - BF2 Ramp Area" sheetId="9" r:id="rId10"/>
    <sheet name="Road 10 - BF2 Bin Building" sheetId="10" r:id="rId11"/>
    <sheet name="Road 11 - CMM SMS1 Assembly" sheetId="11" r:id="rId12"/>
    <sheet name="Road 12 - CMM SMS1 Machine Shop" sheetId="12" r:id="rId13"/>
    <sheet name="Road 13 - Torpedo Rail Track" sheetId="13" r:id="rId14"/>
    <sheet name="Road 14 - HSM Gate16" sheetId="14" r:id="rId15"/>
    <sheet name="Road 15 - RMPP Rail Siding" sheetId="15" r:id="rId16"/>
    <sheet name="Road 16 - Sales Yard MRP" sheetId="16" r:id="rId17"/>
    <sheet name="Road 17 - Slag Yard" sheetId="17" r:id="rId18"/>
  </sheets>
  <definedNames>
    <definedName name="_xlnm._FilterDatabase" localSheetId="0" hidden="1">'Phase- Summary'!$A$2:$L$20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3" i="3"/>
</calcChain>
</file>

<file path=xl/sharedStrings.xml><?xml version="1.0" encoding="utf-8"?>
<sst xmlns="http://schemas.openxmlformats.org/spreadsheetml/2006/main" count="565" uniqueCount="122">
  <si>
    <t>Sl. No.</t>
  </si>
  <si>
    <t>Scheme SL No</t>
  </si>
  <si>
    <t>Location / Road Mark</t>
  </si>
  <si>
    <t>LM</t>
  </si>
  <si>
    <t xml:space="preserve">Vendor </t>
  </si>
  <si>
    <t>Road Type</t>
  </si>
  <si>
    <t>Length</t>
  </si>
  <si>
    <t>Width</t>
  </si>
  <si>
    <t xml:space="preserve">Drain </t>
  </si>
  <si>
    <t>Cost In Cr (Service)</t>
  </si>
  <si>
    <t>Start date</t>
  </si>
  <si>
    <t>End Date</t>
  </si>
  <si>
    <t>IBMD Sarpa MRP- Internal Road</t>
  </si>
  <si>
    <t>B K Das</t>
  </si>
  <si>
    <t>GSPL</t>
  </si>
  <si>
    <t>PAVER</t>
  </si>
  <si>
    <t>PSW peripherals roads/PSW Approach roads</t>
  </si>
  <si>
    <t>BALAJI</t>
  </si>
  <si>
    <t>CONCRETE</t>
  </si>
  <si>
    <t>22A</t>
  </si>
  <si>
    <t>SMS-2 Kamag movement at BOF &amp; Conarc/Ramp side</t>
  </si>
  <si>
    <t>JTVPL</t>
  </si>
  <si>
    <t>22B</t>
  </si>
  <si>
    <t>SMS-2 Kamag movement at BOF &amp; Conarc/Briquetting Plant side</t>
  </si>
  <si>
    <t>RMPP Emergency feeding area</t>
  </si>
  <si>
    <t>Lalit Swain</t>
  </si>
  <si>
    <t>RMPP Emergency feeding Shed</t>
  </si>
  <si>
    <t>RMPP Coal Shed-2</t>
  </si>
  <si>
    <t xml:space="preserve">RMHS Coking Coal Yard-12 Road </t>
  </si>
  <si>
    <t>CHHAYA</t>
  </si>
  <si>
    <t>BF-2 Ramp Area</t>
  </si>
  <si>
    <t>S Parida</t>
  </si>
  <si>
    <t>BF-2 Bin Building</t>
  </si>
  <si>
    <t>CMM SMS-1 Assembly Shop</t>
  </si>
  <si>
    <t>Saroj Biswal</t>
  </si>
  <si>
    <t>CMM SMS-1 Machine Shop</t>
  </si>
  <si>
    <t>SMS-2 Beside Torpedo rail track at Conarc</t>
  </si>
  <si>
    <t>HSM Peripheral area/Gate-16 Coil Yard Road</t>
  </si>
  <si>
    <t>RMPP Rail siding area</t>
  </si>
  <si>
    <t>Sales Yard -LD Gas holder to MRP / 14 mtr road with Culvert</t>
  </si>
  <si>
    <t>BF-1 Slag Yard</t>
  </si>
  <si>
    <t> </t>
  </si>
  <si>
    <t>Total</t>
  </si>
  <si>
    <t>IBMD Sarpa MRP- Internal Road/Sarpa Road &amp; Culvert(400x8 mtr)- Paver Road-  Vendor- GSPL- Manager- B K Das</t>
  </si>
  <si>
    <t>Sl No</t>
  </si>
  <si>
    <t>Description of Job</t>
  </si>
  <si>
    <t>Unit</t>
  </si>
  <si>
    <t>Quantity</t>
  </si>
  <si>
    <t>Start Date</t>
  </si>
  <si>
    <t>Six Party Clearance</t>
  </si>
  <si>
    <t>Job</t>
  </si>
  <si>
    <t>Excavation</t>
  </si>
  <si>
    <t>Cum</t>
  </si>
  <si>
    <t>Soil Disposal</t>
  </si>
  <si>
    <t>Subgrade Preparation</t>
  </si>
  <si>
    <t>Sqm</t>
  </si>
  <si>
    <t>GSB</t>
  </si>
  <si>
    <t>WMM</t>
  </si>
  <si>
    <t>DLC</t>
  </si>
  <si>
    <t>RCC Drain</t>
  </si>
  <si>
    <t>Rmt</t>
  </si>
  <si>
    <t>Paver Laying</t>
  </si>
  <si>
    <t>Kerb wall</t>
  </si>
  <si>
    <t>RMT</t>
  </si>
  <si>
    <t>Remarks-:02-11-2026</t>
  </si>
  <si>
    <t>PSW peripherals roads/PSW Approach roads (760 x 10 mtr)- Concrete Road- Vendor Name- Balaji- Manager- B K Das</t>
  </si>
  <si>
    <t>Vegitation clearance</t>
  </si>
  <si>
    <t>No</t>
  </si>
  <si>
    <t>(Heap Cutting for road diversion)</t>
  </si>
  <si>
    <t>Diversion Road Making</t>
  </si>
  <si>
    <t>SQMT</t>
  </si>
  <si>
    <t>Excavation(Box Cutting)</t>
  </si>
  <si>
    <t>RCC RoAD</t>
  </si>
  <si>
    <t>Shuttering</t>
  </si>
  <si>
    <t>Reinforcement</t>
  </si>
  <si>
    <t>MT</t>
  </si>
  <si>
    <t>Angle Fixing</t>
  </si>
  <si>
    <t>Bitumen Paint</t>
  </si>
  <si>
    <t>Salitex Board</t>
  </si>
  <si>
    <t>Sqmt</t>
  </si>
  <si>
    <t>SMS-2 Kamag movement at BOF &amp; Conarc/Ramp side (800x4 mtr)- Concrete Road- vendor- JTVPL- Manger- B K Das</t>
  </si>
  <si>
    <t>Target/month (Cum)</t>
  </si>
  <si>
    <t>Dismantling</t>
  </si>
  <si>
    <t>30/12/2027</t>
  </si>
  <si>
    <t>RCC</t>
  </si>
  <si>
    <t>15/10/2026</t>
  </si>
  <si>
    <t>30/01/2028</t>
  </si>
  <si>
    <t>SMS-2 Kamag movement at BOF &amp; Conarc/Briquetting Plant side- Concrete Road- Vendor - GSPL-         Manager - B K Das</t>
  </si>
  <si>
    <t>RMPP Emergency feeding area(380x7 mtr)- Concrete Road- Vendor - JTVPL-Manager- Lalit Swain</t>
  </si>
  <si>
    <t>Profile correction</t>
  </si>
  <si>
    <t>PCC</t>
  </si>
  <si>
    <t>RCC(reinforcemnt+shutering)</t>
  </si>
  <si>
    <t>Salitex board</t>
  </si>
  <si>
    <t>RMPP Emergency feeding shed(108x7 Mtr) -Concrete Road- Vendor - JTVPL-Manager- Lalit Swain</t>
  </si>
  <si>
    <t>RMPP/PCI Coal Shed-2(100x7 mtr)- Concrete Road- Vendor- JTVPL- Manager - Lalit Swain</t>
  </si>
  <si>
    <t>RMHS Coking Coal Yard-12 Road (105x7 mtr)- Concrete Road- Vendor- Chhaya- Manager- Lalit Swain</t>
  </si>
  <si>
    <t>Kerb Wall</t>
  </si>
  <si>
    <t>Shalitex Board</t>
  </si>
  <si>
    <t>BF-2 Ramp Area(80x7 Mtr) Concrete Road</t>
  </si>
  <si>
    <t>20 Mtr excavation Pending</t>
  </si>
  <si>
    <t>BF-2 Ramp Area(80x7 Mtr)- Concrete Road -Vendor-JTVPL-Manager- S.Parida</t>
  </si>
  <si>
    <t>BF-2 Bin Building (170x6 mtr)- Paver Road- Vendor- Balaji -Manager- S.Parida</t>
  </si>
  <si>
    <t>CUM</t>
  </si>
  <si>
    <t>CMM SMS-1 Assembly Shop( 200x6 mtr) - Paver Road- Vendor Name - Chhaya- Manager - Saroj Biswal</t>
  </si>
  <si>
    <t>Subgrade preparation</t>
  </si>
  <si>
    <t>Kerbwall</t>
  </si>
  <si>
    <t>MTR</t>
  </si>
  <si>
    <t>CMM SMS-1 Machine Shop (297x7 Mtr)-Concrete Road-Vendor Name - Chhaya-Manager- Saroj Biswal</t>
  </si>
  <si>
    <t>CSqmt</t>
  </si>
  <si>
    <t>SMS-2 Beside Torpedo rail track at Conarc(100X4 mtr)- Concrete road -Vendor Name-Chhaya-Manager- Lalit swain</t>
  </si>
  <si>
    <t>Levelling &amp;Dressing</t>
  </si>
  <si>
    <t>SQM</t>
  </si>
  <si>
    <t>Mtr</t>
  </si>
  <si>
    <t>HSM Peripheral area/Gate-16 Coil Yard Road(100x8 mtr)- Concrete Road- Vendor- GSPL- Manager- B K Das</t>
  </si>
  <si>
    <t>Dismentalling of Paver</t>
  </si>
  <si>
    <t>RMPP Rail siding area(400x4 mtr)-Paver Road-Vendor Name - Balaji-Manager - B K Das</t>
  </si>
  <si>
    <t>Levelling and Dressing</t>
  </si>
  <si>
    <t>Sqmr</t>
  </si>
  <si>
    <t>Sales Yard -LD Gas holder to MRP/ 14 mtr road with culvert (110x14 mtr)- Paver Road- Vendor name - GSPL- Manager- B K Das</t>
  </si>
  <si>
    <t>BF-1 Slag Yard(155x7 mtr)- Concrete Road- Vendor Name - Balaji -Manager- S.Parida</t>
  </si>
  <si>
    <t>Steel</t>
  </si>
  <si>
    <t xml:space="preserve">Angle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</si>
</sst>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  <xf numFmtId="0" fontId="6" fillId="0" borderId="1" xfId="0" applyFont="1" applyBorder="1"/>
    <xf numFmtId="14" fontId="4" fillId="0" borderId="0" xfId="0" applyNumberFormat="1" applyFont="1"/>
    <xf numFmtId="14" fontId="6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5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0" applyNumberFormat="1" applyFont="1" applyBorder="1"/>
    <xf numFmtId="14" fontId="8" fillId="6" borderId="1" xfId="0" applyNumberFormat="1" applyFont="1" applyFill="1" applyBorder="1"/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5" borderId="6" xfId="0" applyFont="1" applyFill="1" applyBorder="1"/>
    <xf numFmtId="14" fontId="0" fillId="0" borderId="6" xfId="0" applyNumberFormat="1" applyBorder="1"/>
    <xf numFmtId="0" fontId="0" fillId="0" borderId="6" xfId="0" applyBorder="1"/>
    <xf numFmtId="0" fontId="1" fillId="5" borderId="7" xfId="0" applyFont="1" applyFill="1" applyBorder="1"/>
    <xf numFmtId="14" fontId="0" fillId="0" borderId="7" xfId="0" applyNumberFormat="1" applyBorder="1"/>
    <xf numFmtId="0" fontId="5" fillId="0" borderId="9" xfId="0" applyFont="1" applyBorder="1"/>
    <xf numFmtId="0" fontId="1" fillId="0" borderId="10" xfId="0" applyFont="1" applyBorder="1"/>
    <xf numFmtId="0" fontId="10" fillId="10" borderId="1" xfId="0" applyFont="1" applyFill="1" applyBorder="1"/>
    <xf numFmtId="0" fontId="10" fillId="10" borderId="8" xfId="0" applyFont="1" applyFill="1" applyBorder="1"/>
    <xf numFmtId="0" fontId="10" fillId="11" borderId="10" xfId="0" applyFont="1" applyFill="1" applyBorder="1"/>
    <xf numFmtId="0" fontId="10" fillId="11" borderId="11" xfId="0" applyFont="1" applyFill="1" applyBorder="1"/>
    <xf numFmtId="0" fontId="10" fillId="11" borderId="12" xfId="0" applyFont="1" applyFill="1" applyBorder="1"/>
    <xf numFmtId="0" fontId="10" fillId="11" borderId="8" xfId="0" applyFont="1" applyFill="1" applyBorder="1"/>
    <xf numFmtId="0" fontId="11" fillId="11" borderId="10" xfId="0" applyFont="1" applyFill="1" applyBorder="1"/>
    <xf numFmtId="0" fontId="11" fillId="11" borderId="11" xfId="0" applyFont="1" applyFill="1" applyBorder="1"/>
    <xf numFmtId="0" fontId="10" fillId="12" borderId="6" xfId="0" applyFont="1" applyFill="1" applyBorder="1"/>
    <xf numFmtId="0" fontId="10" fillId="11" borderId="6" xfId="0" applyFont="1" applyFill="1" applyBorder="1"/>
    <xf numFmtId="0" fontId="10" fillId="10" borderId="4" xfId="0" applyFont="1" applyFill="1" applyBorder="1"/>
    <xf numFmtId="0" fontId="10" fillId="11" borderId="3" xfId="0" applyFont="1" applyFill="1" applyBorder="1"/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4" fontId="9" fillId="6" borderId="1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9" fillId="8" borderId="7" xfId="0" applyFont="1" applyFill="1" applyBorder="1" applyAlignment="1">
      <alignment horizontal="center" wrapText="1"/>
    </xf>
    <xf numFmtId="0" fontId="9" fillId="8" borderId="4" xfId="0" applyFont="1" applyFill="1" applyBorder="1" applyAlignment="1">
      <alignment horizontal="center" wrapText="1"/>
    </xf>
    <xf numFmtId="0" fontId="9" fillId="8" borderId="8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5" fillId="9" borderId="3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7" fillId="4" borderId="8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166" fontId="0" fillId="0" borderId="7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476-D6C3-4B23-A9E5-1ADC01E23CBE}">
  <dimension ref="A2:L20"/>
  <sheetViews>
    <sheetView tabSelected="1" topLeftCell="D1" workbookViewId="0">
      <selection activeCell="H29" sqref="H29"/>
    </sheetView>
  </sheetViews>
  <sheetFormatPr baseColWidth="10" defaultColWidth="8.83203125" defaultRowHeight="15" x14ac:dyDescent="0.2"/>
  <cols>
    <col min="2" max="2" width="13" customWidth="1"/>
    <col min="3" max="3" width="56.83203125" customWidth="1"/>
    <col min="4" max="4" width="14.5" customWidth="1"/>
    <col min="5" max="5" width="10.33203125" customWidth="1"/>
    <col min="6" max="6" width="12.5" customWidth="1"/>
    <col min="7" max="7" width="10.33203125" customWidth="1"/>
    <col min="10" max="10" width="17.83203125" bestFit="1" customWidth="1"/>
    <col min="11" max="12" width="10.33203125" bestFit="1" customWidth="1"/>
  </cols>
  <sheetData>
    <row r="2" spans="1:12" ht="29.25" customHeight="1" x14ac:dyDescent="0.2">
      <c r="A2" s="28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7</v>
      </c>
      <c r="I2" s="38" t="s">
        <v>8</v>
      </c>
      <c r="J2" s="36" t="s">
        <v>9</v>
      </c>
      <c r="K2" s="40" t="s">
        <v>10</v>
      </c>
      <c r="L2" s="41" t="s">
        <v>11</v>
      </c>
    </row>
    <row r="3" spans="1:12" x14ac:dyDescent="0.2">
      <c r="A3" s="30">
        <v>1</v>
      </c>
      <c r="B3" s="31">
        <v>9</v>
      </c>
      <c r="C3" s="31" t="s">
        <v>12</v>
      </c>
      <c r="D3" s="31" t="s">
        <v>13</v>
      </c>
      <c r="E3" s="31" t="s">
        <v>14</v>
      </c>
      <c r="F3" s="31" t="s">
        <v>15</v>
      </c>
      <c r="G3" s="31">
        <v>400</v>
      </c>
      <c r="H3" s="31">
        <v>8</v>
      </c>
      <c r="I3" s="39">
        <v>400</v>
      </c>
      <c r="J3" s="37">
        <v>1.6</v>
      </c>
      <c r="K3" s="12">
        <v>46366</v>
      </c>
      <c r="L3" s="12">
        <v>46598</v>
      </c>
    </row>
    <row r="4" spans="1:12" x14ac:dyDescent="0.2">
      <c r="A4" s="30">
        <v>2</v>
      </c>
      <c r="B4" s="31">
        <v>13</v>
      </c>
      <c r="C4" s="31" t="s">
        <v>16</v>
      </c>
      <c r="D4" s="31" t="s">
        <v>13</v>
      </c>
      <c r="E4" s="31" t="s">
        <v>17</v>
      </c>
      <c r="F4" s="31" t="s">
        <v>18</v>
      </c>
      <c r="G4" s="31">
        <v>760</v>
      </c>
      <c r="H4" s="31">
        <v>10</v>
      </c>
      <c r="I4" s="39">
        <v>900</v>
      </c>
      <c r="J4" s="37">
        <v>5.4</v>
      </c>
      <c r="K4" s="12">
        <v>46293</v>
      </c>
      <c r="L4" s="12">
        <v>46782</v>
      </c>
    </row>
    <row r="5" spans="1:12" x14ac:dyDescent="0.2">
      <c r="A5" s="30">
        <v>3</v>
      </c>
      <c r="B5" s="31" t="s">
        <v>19</v>
      </c>
      <c r="C5" s="31" t="s">
        <v>20</v>
      </c>
      <c r="D5" s="31" t="s">
        <v>13</v>
      </c>
      <c r="E5" s="31" t="s">
        <v>21</v>
      </c>
      <c r="F5" s="31" t="s">
        <v>18</v>
      </c>
      <c r="G5" s="31">
        <v>800</v>
      </c>
      <c r="H5" s="31">
        <v>4</v>
      </c>
      <c r="I5" s="39">
        <v>0</v>
      </c>
      <c r="J5" s="37">
        <v>2.1</v>
      </c>
      <c r="K5" s="12">
        <v>46300</v>
      </c>
      <c r="L5" s="12">
        <v>46782</v>
      </c>
    </row>
    <row r="6" spans="1:12" x14ac:dyDescent="0.2">
      <c r="A6" s="30">
        <v>4</v>
      </c>
      <c r="B6" s="31" t="s">
        <v>22</v>
      </c>
      <c r="C6" s="31" t="s">
        <v>23</v>
      </c>
      <c r="D6" s="31" t="s">
        <v>13</v>
      </c>
      <c r="E6" s="31" t="s">
        <v>14</v>
      </c>
      <c r="F6" s="31" t="s">
        <v>18</v>
      </c>
      <c r="G6" s="31">
        <v>800</v>
      </c>
      <c r="H6" s="31">
        <v>4</v>
      </c>
      <c r="I6" s="39">
        <v>0</v>
      </c>
      <c r="J6" s="37">
        <v>2.1</v>
      </c>
      <c r="K6" s="12">
        <v>46302</v>
      </c>
      <c r="L6" s="12">
        <v>46783</v>
      </c>
    </row>
    <row r="7" spans="1:12" x14ac:dyDescent="0.2">
      <c r="A7" s="30">
        <v>5</v>
      </c>
      <c r="B7" s="31">
        <v>3</v>
      </c>
      <c r="C7" s="31" t="s">
        <v>24</v>
      </c>
      <c r="D7" s="31" t="s">
        <v>25</v>
      </c>
      <c r="E7" s="31" t="s">
        <v>21</v>
      </c>
      <c r="F7" s="31" t="s">
        <v>18</v>
      </c>
      <c r="G7" s="32">
        <v>380</v>
      </c>
      <c r="H7" s="31">
        <v>7</v>
      </c>
      <c r="I7" s="39">
        <v>0</v>
      </c>
      <c r="J7" s="37">
        <v>1.7</v>
      </c>
      <c r="K7" s="12">
        <v>46300</v>
      </c>
      <c r="L7" s="12">
        <v>46507</v>
      </c>
    </row>
    <row r="8" spans="1:12" x14ac:dyDescent="0.2">
      <c r="A8" s="30">
        <v>6</v>
      </c>
      <c r="B8" s="31">
        <v>5</v>
      </c>
      <c r="C8" s="31" t="s">
        <v>26</v>
      </c>
      <c r="D8" s="31" t="s">
        <v>25</v>
      </c>
      <c r="E8" s="31" t="s">
        <v>21</v>
      </c>
      <c r="F8" s="31" t="s">
        <v>18</v>
      </c>
      <c r="G8" s="33">
        <v>108</v>
      </c>
      <c r="H8" s="31">
        <v>7</v>
      </c>
      <c r="I8" s="39">
        <v>200</v>
      </c>
      <c r="J8" s="37">
        <v>0.45</v>
      </c>
      <c r="K8" s="12">
        <v>46357</v>
      </c>
      <c r="L8" s="12">
        <v>46507</v>
      </c>
    </row>
    <row r="9" spans="1:12" x14ac:dyDescent="0.2">
      <c r="A9" s="30">
        <v>7</v>
      </c>
      <c r="B9" s="31">
        <v>4</v>
      </c>
      <c r="C9" s="31" t="s">
        <v>27</v>
      </c>
      <c r="D9" s="31" t="s">
        <v>25</v>
      </c>
      <c r="E9" s="31" t="s">
        <v>21</v>
      </c>
      <c r="F9" s="31" t="s">
        <v>18</v>
      </c>
      <c r="G9" s="31">
        <v>100</v>
      </c>
      <c r="H9" s="31">
        <v>7</v>
      </c>
      <c r="I9" s="39">
        <v>0</v>
      </c>
      <c r="J9" s="37">
        <v>0.25</v>
      </c>
      <c r="K9" s="12">
        <v>46300</v>
      </c>
      <c r="L9" s="12">
        <v>46507</v>
      </c>
    </row>
    <row r="10" spans="1:12" x14ac:dyDescent="0.2">
      <c r="A10" s="30">
        <v>8</v>
      </c>
      <c r="B10" s="31">
        <v>2</v>
      </c>
      <c r="C10" s="31" t="s">
        <v>28</v>
      </c>
      <c r="D10" s="31" t="s">
        <v>25</v>
      </c>
      <c r="E10" s="31" t="s">
        <v>29</v>
      </c>
      <c r="F10" s="31" t="s">
        <v>18</v>
      </c>
      <c r="G10" s="31">
        <v>105</v>
      </c>
      <c r="H10" s="31">
        <v>7</v>
      </c>
      <c r="I10" s="39">
        <v>0</v>
      </c>
      <c r="J10" s="37">
        <v>0.3</v>
      </c>
      <c r="K10" s="12">
        <v>46305</v>
      </c>
      <c r="L10" s="12">
        <v>46419</v>
      </c>
    </row>
    <row r="11" spans="1:12" x14ac:dyDescent="0.2">
      <c r="A11" s="30">
        <v>9</v>
      </c>
      <c r="B11" s="31">
        <v>35</v>
      </c>
      <c r="C11" s="31" t="s">
        <v>30</v>
      </c>
      <c r="D11" s="31" t="s">
        <v>31</v>
      </c>
      <c r="E11" s="31" t="s">
        <v>21</v>
      </c>
      <c r="F11" s="31" t="s">
        <v>18</v>
      </c>
      <c r="G11" s="31">
        <v>80</v>
      </c>
      <c r="H11" s="31">
        <v>7</v>
      </c>
      <c r="I11" s="39">
        <v>0</v>
      </c>
      <c r="J11" s="37">
        <v>0.2</v>
      </c>
      <c r="K11" s="12">
        <v>46316</v>
      </c>
      <c r="L11" s="12">
        <v>46418</v>
      </c>
    </row>
    <row r="12" spans="1:12" x14ac:dyDescent="0.2">
      <c r="A12" s="30">
        <v>10</v>
      </c>
      <c r="B12" s="31">
        <v>36</v>
      </c>
      <c r="C12" s="31" t="s">
        <v>32</v>
      </c>
      <c r="D12" s="31" t="s">
        <v>31</v>
      </c>
      <c r="E12" s="31" t="s">
        <v>17</v>
      </c>
      <c r="F12" s="31" t="s">
        <v>15</v>
      </c>
      <c r="G12" s="31">
        <v>170</v>
      </c>
      <c r="H12" s="31">
        <v>6</v>
      </c>
      <c r="I12" s="39">
        <v>80</v>
      </c>
      <c r="J12" s="37">
        <v>0.5</v>
      </c>
      <c r="K12" s="42">
        <v>46402</v>
      </c>
      <c r="L12" s="12">
        <v>46568</v>
      </c>
    </row>
    <row r="13" spans="1:12" x14ac:dyDescent="0.2">
      <c r="A13" s="30">
        <v>11</v>
      </c>
      <c r="B13" s="31">
        <v>38</v>
      </c>
      <c r="C13" s="31" t="s">
        <v>33</v>
      </c>
      <c r="D13" s="31" t="s">
        <v>34</v>
      </c>
      <c r="E13" s="31" t="s">
        <v>29</v>
      </c>
      <c r="F13" s="31" t="s">
        <v>15</v>
      </c>
      <c r="G13" s="31">
        <v>200</v>
      </c>
      <c r="H13" s="31">
        <v>6</v>
      </c>
      <c r="I13" s="39">
        <v>0</v>
      </c>
      <c r="J13" s="37">
        <v>0.45</v>
      </c>
      <c r="K13" s="42">
        <v>46327</v>
      </c>
      <c r="L13" s="12">
        <v>46451</v>
      </c>
    </row>
    <row r="14" spans="1:12" x14ac:dyDescent="0.2">
      <c r="A14" s="30">
        <v>12</v>
      </c>
      <c r="B14" s="31">
        <v>39</v>
      </c>
      <c r="C14" s="31" t="s">
        <v>35</v>
      </c>
      <c r="D14" s="31" t="s">
        <v>34</v>
      </c>
      <c r="E14" s="31" t="s">
        <v>29</v>
      </c>
      <c r="F14" s="31" t="s">
        <v>18</v>
      </c>
      <c r="G14" s="31">
        <v>297</v>
      </c>
      <c r="H14" s="31">
        <v>7</v>
      </c>
      <c r="I14" s="39">
        <v>100</v>
      </c>
      <c r="J14" s="37">
        <v>1.2</v>
      </c>
      <c r="K14" s="42">
        <v>46320</v>
      </c>
      <c r="L14" s="12">
        <v>46537</v>
      </c>
    </row>
    <row r="15" spans="1:12" x14ac:dyDescent="0.2">
      <c r="A15" s="30">
        <v>13</v>
      </c>
      <c r="B15" s="31">
        <v>20</v>
      </c>
      <c r="C15" s="31" t="s">
        <v>36</v>
      </c>
      <c r="D15" s="31" t="s">
        <v>25</v>
      </c>
      <c r="E15" s="31" t="s">
        <v>29</v>
      </c>
      <c r="F15" s="31" t="s">
        <v>18</v>
      </c>
      <c r="G15" s="31">
        <v>100</v>
      </c>
      <c r="H15" s="31">
        <v>4</v>
      </c>
      <c r="I15" s="39">
        <v>0</v>
      </c>
      <c r="J15" s="37">
        <v>0.2</v>
      </c>
      <c r="K15" s="42">
        <v>46363</v>
      </c>
      <c r="L15" s="12">
        <v>46442</v>
      </c>
    </row>
    <row r="16" spans="1:12" x14ac:dyDescent="0.2">
      <c r="A16" s="30">
        <v>14</v>
      </c>
      <c r="B16" s="31">
        <v>29</v>
      </c>
      <c r="C16" s="31" t="s">
        <v>37</v>
      </c>
      <c r="D16" s="31" t="s">
        <v>13</v>
      </c>
      <c r="E16" s="31" t="s">
        <v>14</v>
      </c>
      <c r="F16" s="31" t="s">
        <v>18</v>
      </c>
      <c r="G16" s="31">
        <v>100</v>
      </c>
      <c r="H16" s="31">
        <v>8</v>
      </c>
      <c r="I16" s="39">
        <v>0</v>
      </c>
      <c r="J16" s="37">
        <v>0.45</v>
      </c>
      <c r="K16" s="42">
        <v>46300</v>
      </c>
      <c r="L16" s="12">
        <v>46397</v>
      </c>
    </row>
    <row r="17" spans="1:12" x14ac:dyDescent="0.2">
      <c r="A17" s="30">
        <v>15</v>
      </c>
      <c r="B17" s="31">
        <v>8</v>
      </c>
      <c r="C17" s="31" t="s">
        <v>38</v>
      </c>
      <c r="D17" s="31" t="s">
        <v>13</v>
      </c>
      <c r="E17" s="31" t="s">
        <v>17</v>
      </c>
      <c r="F17" s="31" t="s">
        <v>15</v>
      </c>
      <c r="G17" s="31">
        <v>400</v>
      </c>
      <c r="H17" s="31">
        <v>4</v>
      </c>
      <c r="I17" s="39">
        <v>400</v>
      </c>
      <c r="J17" s="37">
        <v>1</v>
      </c>
      <c r="K17" s="42">
        <v>46492</v>
      </c>
      <c r="L17" s="12">
        <v>46767</v>
      </c>
    </row>
    <row r="18" spans="1:12" x14ac:dyDescent="0.2">
      <c r="A18" s="30">
        <v>16</v>
      </c>
      <c r="B18" s="31">
        <v>11</v>
      </c>
      <c r="C18" s="31" t="s">
        <v>39</v>
      </c>
      <c r="D18" s="31" t="s">
        <v>13</v>
      </c>
      <c r="E18" s="31" t="s">
        <v>14</v>
      </c>
      <c r="F18" s="31" t="s">
        <v>15</v>
      </c>
      <c r="G18" s="31">
        <v>110</v>
      </c>
      <c r="H18" s="31">
        <v>14</v>
      </c>
      <c r="I18" s="39">
        <v>110</v>
      </c>
      <c r="J18" s="37">
        <v>0.7</v>
      </c>
      <c r="K18" s="43">
        <v>46296</v>
      </c>
      <c r="L18" s="12">
        <v>46445</v>
      </c>
    </row>
    <row r="19" spans="1:12" x14ac:dyDescent="0.2">
      <c r="A19" s="30">
        <v>17</v>
      </c>
      <c r="B19" s="31">
        <v>34</v>
      </c>
      <c r="C19" s="31" t="s">
        <v>40</v>
      </c>
      <c r="D19" s="31" t="s">
        <v>31</v>
      </c>
      <c r="E19" s="31" t="s">
        <v>17</v>
      </c>
      <c r="F19" s="31" t="s">
        <v>18</v>
      </c>
      <c r="G19" s="31">
        <v>155</v>
      </c>
      <c r="H19" s="31">
        <v>7</v>
      </c>
      <c r="I19" s="39">
        <v>100</v>
      </c>
      <c r="J19" s="37">
        <v>0.8</v>
      </c>
      <c r="K19" s="43">
        <v>46310</v>
      </c>
      <c r="L19" s="12">
        <v>46507</v>
      </c>
    </row>
    <row r="20" spans="1:12" ht="16" x14ac:dyDescent="0.2">
      <c r="A20" s="34" t="s">
        <v>41</v>
      </c>
      <c r="B20" s="35" t="s">
        <v>41</v>
      </c>
      <c r="C20" s="35" t="s">
        <v>42</v>
      </c>
      <c r="D20" s="35" t="s">
        <v>41</v>
      </c>
      <c r="E20" s="35" t="s">
        <v>41</v>
      </c>
      <c r="F20" s="35" t="s">
        <v>41</v>
      </c>
      <c r="G20" s="35">
        <v>5065</v>
      </c>
      <c r="H20" s="35" t="s">
        <v>41</v>
      </c>
      <c r="I20" s="35">
        <v>2290</v>
      </c>
      <c r="J20" s="35">
        <v>19.399999999999999</v>
      </c>
    </row>
  </sheetData>
  <autoFilter ref="A2:L20" xr:uid="{568A5476-D6C3-4B23-A9E5-1ADC01E23CB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activeCell="F32" sqref="F32"/>
    </sheetView>
  </sheetViews>
  <sheetFormatPr baseColWidth="10" defaultColWidth="8.83203125" defaultRowHeight="15" x14ac:dyDescent="0.2"/>
  <cols>
    <col min="2" max="2" width="21" customWidth="1"/>
    <col min="4" max="4" width="10.5" customWidth="1"/>
    <col min="5" max="5" width="19.5" customWidth="1"/>
    <col min="6" max="6" width="11.5" bestFit="1" customWidth="1"/>
  </cols>
  <sheetData>
    <row r="1" spans="1:8" s="20" customFormat="1" ht="54" customHeight="1" x14ac:dyDescent="0.2">
      <c r="A1" s="45" t="s">
        <v>43</v>
      </c>
      <c r="B1" s="45"/>
      <c r="C1" s="45"/>
      <c r="D1" s="45"/>
      <c r="E1" s="45"/>
      <c r="F1" s="45"/>
      <c r="G1" s="19"/>
      <c r="H1" s="19"/>
    </row>
    <row r="2" spans="1:8" x14ac:dyDescent="0.2">
      <c r="A2" s="8" t="s">
        <v>44</v>
      </c>
      <c r="B2" s="8" t="s">
        <v>45</v>
      </c>
      <c r="C2" s="8" t="s">
        <v>46</v>
      </c>
      <c r="D2" s="8" t="s">
        <v>47</v>
      </c>
      <c r="E2" s="8" t="s">
        <v>48</v>
      </c>
      <c r="F2" s="8" t="s">
        <v>11</v>
      </c>
    </row>
    <row r="3" spans="1:8" x14ac:dyDescent="0.2">
      <c r="A3" s="9">
        <v>1</v>
      </c>
      <c r="B3" s="9" t="s">
        <v>49</v>
      </c>
      <c r="C3" s="9" t="s">
        <v>50</v>
      </c>
      <c r="D3" s="9">
        <v>1</v>
      </c>
      <c r="E3" s="12">
        <v>46366</v>
      </c>
      <c r="F3" s="12">
        <v>46376</v>
      </c>
    </row>
    <row r="4" spans="1:8" x14ac:dyDescent="0.2">
      <c r="A4" s="9">
        <v>2</v>
      </c>
      <c r="B4" s="9" t="s">
        <v>51</v>
      </c>
      <c r="C4" s="9" t="s">
        <v>52</v>
      </c>
      <c r="D4" s="9">
        <v>3200</v>
      </c>
      <c r="E4" s="12">
        <v>46376</v>
      </c>
      <c r="F4" s="12">
        <v>46446</v>
      </c>
    </row>
    <row r="5" spans="1:8" x14ac:dyDescent="0.2">
      <c r="A5" s="9">
        <v>3</v>
      </c>
      <c r="B5" s="9" t="s">
        <v>53</v>
      </c>
      <c r="C5" s="9" t="s">
        <v>52</v>
      </c>
      <c r="D5" s="9">
        <v>3200</v>
      </c>
      <c r="E5" s="12">
        <v>46376</v>
      </c>
      <c r="F5" s="12">
        <v>46446</v>
      </c>
    </row>
    <row r="6" spans="1:8" x14ac:dyDescent="0.2">
      <c r="A6" s="9">
        <v>4</v>
      </c>
      <c r="B6" s="9" t="s">
        <v>54</v>
      </c>
      <c r="C6" s="9" t="s">
        <v>55</v>
      </c>
      <c r="D6" s="9">
        <v>3200</v>
      </c>
      <c r="E6" s="12">
        <v>46443</v>
      </c>
      <c r="F6" s="12">
        <v>46451</v>
      </c>
    </row>
    <row r="7" spans="1:8" x14ac:dyDescent="0.2">
      <c r="A7" s="9">
        <v>5</v>
      </c>
      <c r="B7" s="9" t="s">
        <v>56</v>
      </c>
      <c r="C7" s="9" t="s">
        <v>52</v>
      </c>
      <c r="D7" s="9">
        <v>1120</v>
      </c>
      <c r="E7" s="12">
        <v>46451</v>
      </c>
      <c r="F7" s="12">
        <v>46492</v>
      </c>
    </row>
    <row r="8" spans="1:8" x14ac:dyDescent="0.2">
      <c r="A8" s="9">
        <v>6</v>
      </c>
      <c r="B8" s="9" t="s">
        <v>57</v>
      </c>
      <c r="C8" s="9" t="s">
        <v>52</v>
      </c>
      <c r="D8" s="9">
        <v>480</v>
      </c>
      <c r="E8" s="12">
        <v>46478</v>
      </c>
      <c r="F8" s="12">
        <v>46527</v>
      </c>
    </row>
    <row r="9" spans="1:8" x14ac:dyDescent="0.2">
      <c r="A9" s="9">
        <v>7</v>
      </c>
      <c r="B9" s="9" t="s">
        <v>58</v>
      </c>
      <c r="C9" s="9" t="s">
        <v>52</v>
      </c>
      <c r="D9" s="9">
        <v>480</v>
      </c>
      <c r="E9" s="12">
        <v>46517</v>
      </c>
      <c r="F9" s="12">
        <v>46537</v>
      </c>
    </row>
    <row r="10" spans="1:8" x14ac:dyDescent="0.2">
      <c r="A10" s="9">
        <v>8</v>
      </c>
      <c r="B10" s="9" t="s">
        <v>59</v>
      </c>
      <c r="C10" s="9" t="s">
        <v>60</v>
      </c>
      <c r="D10" s="9">
        <v>400</v>
      </c>
      <c r="E10" s="12">
        <v>46402</v>
      </c>
      <c r="F10" s="12">
        <v>46537</v>
      </c>
    </row>
    <row r="11" spans="1:8" x14ac:dyDescent="0.2">
      <c r="A11" s="9">
        <v>9</v>
      </c>
      <c r="B11" s="9" t="s">
        <v>61</v>
      </c>
      <c r="C11" s="9" t="s">
        <v>55</v>
      </c>
      <c r="D11" s="9">
        <v>3200</v>
      </c>
      <c r="E11" s="12">
        <v>46522</v>
      </c>
      <c r="F11" s="12">
        <v>46583</v>
      </c>
    </row>
    <row r="12" spans="1:8" x14ac:dyDescent="0.2">
      <c r="A12" s="9">
        <v>10</v>
      </c>
      <c r="B12" s="9" t="s">
        <v>62</v>
      </c>
      <c r="C12" s="9" t="s">
        <v>63</v>
      </c>
      <c r="D12" s="9">
        <v>1</v>
      </c>
      <c r="E12" s="12">
        <v>46553</v>
      </c>
      <c r="F12" s="12">
        <v>46598</v>
      </c>
    </row>
    <row r="14" spans="1:8" x14ac:dyDescent="0.2">
      <c r="A14" t="s">
        <v>64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19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6.5" customWidth="1"/>
    <col min="2" max="2" width="21" customWidth="1"/>
    <col min="3" max="3" width="11.5" customWidth="1"/>
    <col min="5" max="5" width="11.5" style="18" bestFit="1" customWidth="1"/>
    <col min="6" max="6" width="20.5" style="18" customWidth="1"/>
  </cols>
  <sheetData>
    <row r="1" spans="1:6" ht="66.75" customHeight="1" x14ac:dyDescent="0.2">
      <c r="A1" s="46" t="s">
        <v>65</v>
      </c>
      <c r="B1" s="46"/>
      <c r="C1" s="46"/>
      <c r="D1" s="46"/>
      <c r="E1" s="46"/>
      <c r="F1" s="46"/>
    </row>
    <row r="2" spans="1:6" s="14" customFormat="1" x14ac:dyDescent="0.2">
      <c r="A2" s="13" t="s">
        <v>44</v>
      </c>
      <c r="B2" s="13" t="s">
        <v>45</v>
      </c>
      <c r="C2" s="13" t="s">
        <v>46</v>
      </c>
      <c r="D2" s="13" t="s">
        <v>47</v>
      </c>
      <c r="E2" s="17" t="s">
        <v>48</v>
      </c>
      <c r="F2" s="17" t="s">
        <v>11</v>
      </c>
    </row>
    <row r="3" spans="1:6" x14ac:dyDescent="0.2">
      <c r="A3" s="2">
        <v>1</v>
      </c>
      <c r="B3" s="2" t="s">
        <v>66</v>
      </c>
      <c r="C3" s="2" t="s">
        <v>67</v>
      </c>
      <c r="D3" s="2">
        <v>1</v>
      </c>
      <c r="E3" s="4">
        <v>46293</v>
      </c>
      <c r="F3" s="4">
        <v>46295</v>
      </c>
    </row>
    <row r="4" spans="1:6" x14ac:dyDescent="0.2">
      <c r="A4" s="2">
        <v>2</v>
      </c>
      <c r="B4" s="2" t="s">
        <v>49</v>
      </c>
      <c r="C4" s="2" t="s">
        <v>50</v>
      </c>
      <c r="D4" s="2">
        <v>1</v>
      </c>
      <c r="E4" s="4">
        <v>46296</v>
      </c>
      <c r="F4" s="4">
        <v>46305</v>
      </c>
    </row>
    <row r="5" spans="1:6" ht="32" x14ac:dyDescent="0.2">
      <c r="A5" s="2">
        <v>3</v>
      </c>
      <c r="B5" s="10" t="s">
        <v>68</v>
      </c>
      <c r="C5" s="2" t="s">
        <v>52</v>
      </c>
      <c r="D5" s="2">
        <v>12000</v>
      </c>
      <c r="E5" s="4">
        <v>46307</v>
      </c>
      <c r="F5" s="4">
        <v>46356</v>
      </c>
    </row>
    <row r="6" spans="1:6" ht="16" x14ac:dyDescent="0.2">
      <c r="A6" s="2">
        <v>4</v>
      </c>
      <c r="B6" s="10" t="s">
        <v>69</v>
      </c>
      <c r="C6" s="2" t="s">
        <v>70</v>
      </c>
      <c r="D6" s="2">
        <v>5000</v>
      </c>
      <c r="E6" s="4">
        <v>46357</v>
      </c>
      <c r="F6" s="4">
        <v>46386</v>
      </c>
    </row>
    <row r="7" spans="1:6" x14ac:dyDescent="0.2">
      <c r="A7" s="2">
        <v>3</v>
      </c>
      <c r="B7" s="2" t="s">
        <v>71</v>
      </c>
      <c r="C7" s="2" t="s">
        <v>52</v>
      </c>
      <c r="D7" s="2">
        <v>10000</v>
      </c>
      <c r="E7" s="4">
        <v>46376</v>
      </c>
      <c r="F7" s="4">
        <v>46446</v>
      </c>
    </row>
    <row r="8" spans="1:6" x14ac:dyDescent="0.2">
      <c r="A8" s="2">
        <v>4</v>
      </c>
      <c r="B8" s="2" t="s">
        <v>53</v>
      </c>
      <c r="C8" s="2" t="s">
        <v>52</v>
      </c>
      <c r="D8" s="2">
        <v>22000</v>
      </c>
      <c r="E8" s="4">
        <v>46307</v>
      </c>
      <c r="F8" s="4">
        <v>46446</v>
      </c>
    </row>
    <row r="9" spans="1:6" x14ac:dyDescent="0.2">
      <c r="A9" s="2">
        <v>5</v>
      </c>
      <c r="B9" s="2" t="s">
        <v>56</v>
      </c>
      <c r="C9" s="2" t="s">
        <v>52</v>
      </c>
      <c r="D9" s="2">
        <v>2800</v>
      </c>
      <c r="E9" s="4">
        <v>46402</v>
      </c>
      <c r="F9" s="4">
        <v>46476</v>
      </c>
    </row>
    <row r="10" spans="1:6" x14ac:dyDescent="0.2">
      <c r="A10" s="2">
        <v>6</v>
      </c>
      <c r="B10" s="2" t="s">
        <v>57</v>
      </c>
      <c r="C10" s="2" t="s">
        <v>52</v>
      </c>
      <c r="D10" s="2">
        <v>1200</v>
      </c>
      <c r="E10" s="4">
        <v>46438</v>
      </c>
      <c r="F10" s="4">
        <v>46497</v>
      </c>
    </row>
    <row r="11" spans="1:6" x14ac:dyDescent="0.2">
      <c r="A11" s="2">
        <v>7</v>
      </c>
      <c r="B11" s="2" t="s">
        <v>58</v>
      </c>
      <c r="C11" s="2" t="s">
        <v>52</v>
      </c>
      <c r="D11" s="2">
        <v>1200</v>
      </c>
      <c r="E11" s="4">
        <v>46447</v>
      </c>
      <c r="F11" s="4">
        <v>46537</v>
      </c>
    </row>
    <row r="12" spans="1:6" x14ac:dyDescent="0.2">
      <c r="A12" s="2">
        <v>8</v>
      </c>
      <c r="B12" s="2" t="s">
        <v>59</v>
      </c>
      <c r="C12" s="2" t="s">
        <v>60</v>
      </c>
      <c r="D12" s="2">
        <v>900</v>
      </c>
      <c r="E12" s="4">
        <v>46358</v>
      </c>
      <c r="F12" s="4">
        <v>46568</v>
      </c>
    </row>
    <row r="13" spans="1:6" x14ac:dyDescent="0.2">
      <c r="A13" s="2">
        <v>9</v>
      </c>
      <c r="B13" s="2" t="s">
        <v>72</v>
      </c>
      <c r="C13" s="2" t="s">
        <v>52</v>
      </c>
      <c r="D13" s="2">
        <v>2840</v>
      </c>
      <c r="E13" s="4">
        <v>46508</v>
      </c>
      <c r="F13" s="4">
        <v>46752</v>
      </c>
    </row>
    <row r="14" spans="1:6" x14ac:dyDescent="0.2">
      <c r="A14" s="2">
        <v>10</v>
      </c>
      <c r="B14" s="2" t="s">
        <v>73</v>
      </c>
      <c r="C14" s="2" t="s">
        <v>55</v>
      </c>
      <c r="D14" s="2">
        <v>6528</v>
      </c>
      <c r="E14" s="4">
        <v>46508</v>
      </c>
      <c r="F14" s="4">
        <v>46752</v>
      </c>
    </row>
    <row r="15" spans="1:6" x14ac:dyDescent="0.2">
      <c r="A15" s="2">
        <v>11</v>
      </c>
      <c r="B15" s="2" t="s">
        <v>74</v>
      </c>
      <c r="C15" s="2" t="s">
        <v>75</v>
      </c>
      <c r="D15" s="2">
        <v>148</v>
      </c>
      <c r="E15" s="4">
        <v>46508</v>
      </c>
      <c r="F15" s="4">
        <v>46752</v>
      </c>
    </row>
    <row r="16" spans="1:6" x14ac:dyDescent="0.2">
      <c r="A16" s="2">
        <v>12</v>
      </c>
      <c r="B16" s="2" t="s">
        <v>76</v>
      </c>
      <c r="C16" s="2" t="s">
        <v>75</v>
      </c>
      <c r="D16" s="2">
        <v>8.1999999999999993</v>
      </c>
      <c r="E16" s="4">
        <v>46508</v>
      </c>
      <c r="F16" s="4">
        <v>46752</v>
      </c>
    </row>
    <row r="17" spans="1:6" x14ac:dyDescent="0.2">
      <c r="A17" s="2">
        <v>13</v>
      </c>
      <c r="B17" s="2" t="s">
        <v>77</v>
      </c>
      <c r="C17" s="2" t="s">
        <v>55</v>
      </c>
      <c r="D17" s="2">
        <v>700</v>
      </c>
      <c r="E17" s="4">
        <v>46508</v>
      </c>
      <c r="F17" s="4">
        <v>46752</v>
      </c>
    </row>
    <row r="18" spans="1:6" x14ac:dyDescent="0.2">
      <c r="A18" s="2">
        <v>15</v>
      </c>
      <c r="B18" s="2" t="s">
        <v>78</v>
      </c>
      <c r="C18" s="2" t="s">
        <v>79</v>
      </c>
      <c r="D18" s="2">
        <v>52</v>
      </c>
      <c r="E18" s="4">
        <v>46508</v>
      </c>
      <c r="F18" s="4">
        <v>46752</v>
      </c>
    </row>
    <row r="19" spans="1:6" x14ac:dyDescent="0.2">
      <c r="A19" s="2">
        <v>16</v>
      </c>
      <c r="B19" s="2" t="s">
        <v>62</v>
      </c>
      <c r="C19" s="2" t="s">
        <v>63</v>
      </c>
      <c r="D19" s="2">
        <v>1600</v>
      </c>
      <c r="E19" s="4">
        <v>46588</v>
      </c>
      <c r="F19" s="4">
        <v>46782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E17" sqref="E17"/>
    </sheetView>
  </sheetViews>
  <sheetFormatPr baseColWidth="10" defaultColWidth="8.83203125" defaultRowHeight="15" customHeight="1" x14ac:dyDescent="0.2"/>
  <cols>
    <col min="2" max="2" width="25.1640625" customWidth="1"/>
    <col min="3" max="3" width="14" customWidth="1"/>
    <col min="4" max="4" width="12.5" customWidth="1"/>
    <col min="5" max="5" width="14.1640625" customWidth="1"/>
    <col min="6" max="6" width="21.5" customWidth="1"/>
    <col min="7" max="7" width="16.5" customWidth="1"/>
  </cols>
  <sheetData>
    <row r="1" spans="1:7" ht="45" customHeight="1" x14ac:dyDescent="0.2">
      <c r="A1" s="47" t="s">
        <v>80</v>
      </c>
      <c r="B1" s="47"/>
      <c r="C1" s="47"/>
      <c r="D1" s="47"/>
      <c r="E1" s="47"/>
      <c r="F1" s="47"/>
      <c r="G1" s="47"/>
    </row>
    <row r="2" spans="1:7" x14ac:dyDescent="0.2">
      <c r="A2" s="11" t="s">
        <v>44</v>
      </c>
      <c r="B2" s="11" t="s">
        <v>45</v>
      </c>
      <c r="C2" s="11" t="s">
        <v>46</v>
      </c>
      <c r="D2" s="11" t="s">
        <v>47</v>
      </c>
      <c r="E2" s="24" t="s">
        <v>48</v>
      </c>
      <c r="F2" s="21" t="s">
        <v>11</v>
      </c>
      <c r="G2" s="21" t="s">
        <v>81</v>
      </c>
    </row>
    <row r="3" spans="1:7" x14ac:dyDescent="0.2">
      <c r="A3" s="2">
        <v>1</v>
      </c>
      <c r="B3" s="2" t="s">
        <v>82</v>
      </c>
      <c r="C3" s="2" t="s">
        <v>52</v>
      </c>
      <c r="D3" s="2">
        <v>1325</v>
      </c>
      <c r="E3" s="68">
        <v>46152</v>
      </c>
      <c r="F3" s="68" t="s">
        <v>83</v>
      </c>
      <c r="G3" s="23">
        <f>90</f>
        <v>90</v>
      </c>
    </row>
    <row r="4" spans="1:7" x14ac:dyDescent="0.2">
      <c r="A4" s="2">
        <v>8</v>
      </c>
      <c r="B4" s="2" t="s">
        <v>84</v>
      </c>
      <c r="C4" s="2" t="s">
        <v>52</v>
      </c>
      <c r="D4" s="2">
        <v>1120</v>
      </c>
      <c r="E4" s="68" t="s">
        <v>85</v>
      </c>
      <c r="F4" s="68" t="s">
        <v>86</v>
      </c>
      <c r="G4" s="23">
        <v>75</v>
      </c>
    </row>
    <row r="6" spans="1:7" x14ac:dyDescent="0.2"/>
    <row r="7" spans="1:7" x14ac:dyDescent="0.2"/>
    <row r="8" spans="1:7" x14ac:dyDescent="0.2"/>
    <row r="9" spans="1:7" x14ac:dyDescent="0.2"/>
    <row r="10" spans="1:7" x14ac:dyDescent="0.2"/>
    <row r="11" spans="1:7" x14ac:dyDescent="0.2"/>
    <row r="12" spans="1:7" x14ac:dyDescent="0.2"/>
    <row r="13" spans="1:7" x14ac:dyDescent="0.2"/>
    <row r="14" spans="1:7" x14ac:dyDescent="0.2"/>
    <row r="15" spans="1:7" x14ac:dyDescent="0.2"/>
    <row r="16" spans="1:7" x14ac:dyDescent="0.2"/>
    <row r="17" x14ac:dyDescent="0.2"/>
    <row r="18" x14ac:dyDescent="0.2"/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F11" sqref="F11"/>
    </sheetView>
  </sheetViews>
  <sheetFormatPr baseColWidth="10" defaultColWidth="8.83203125" defaultRowHeight="15" x14ac:dyDescent="0.2"/>
  <cols>
    <col min="2" max="2" width="16.5" bestFit="1" customWidth="1"/>
    <col min="5" max="5" width="11.1640625" bestFit="1" customWidth="1"/>
    <col min="6" max="6" width="11.5" bestFit="1" customWidth="1"/>
    <col min="7" max="7" width="19.83203125" bestFit="1" customWidth="1"/>
  </cols>
  <sheetData>
    <row r="1" spans="1:7" ht="68.25" customHeight="1" x14ac:dyDescent="0.2">
      <c r="A1" s="47" t="s">
        <v>87</v>
      </c>
      <c r="B1" s="47"/>
      <c r="C1" s="47"/>
      <c r="D1" s="47"/>
      <c r="E1" s="47"/>
      <c r="F1" s="47"/>
      <c r="G1" s="47"/>
    </row>
    <row r="2" spans="1:7" x14ac:dyDescent="0.2">
      <c r="A2" s="11" t="s">
        <v>44</v>
      </c>
      <c r="B2" s="11" t="s">
        <v>45</v>
      </c>
      <c r="C2" s="11" t="s">
        <v>46</v>
      </c>
      <c r="D2" s="11" t="s">
        <v>47</v>
      </c>
      <c r="E2" s="24" t="s">
        <v>48</v>
      </c>
      <c r="F2" s="21" t="s">
        <v>11</v>
      </c>
      <c r="G2" s="21" t="s">
        <v>81</v>
      </c>
    </row>
    <row r="3" spans="1:7" x14ac:dyDescent="0.2">
      <c r="A3" s="2">
        <v>1</v>
      </c>
      <c r="B3" s="2" t="s">
        <v>82</v>
      </c>
      <c r="C3" s="2" t="s">
        <v>52</v>
      </c>
      <c r="D3" s="2">
        <v>1325</v>
      </c>
      <c r="E3" s="25">
        <v>46213</v>
      </c>
      <c r="F3" s="25" t="s">
        <v>83</v>
      </c>
      <c r="G3" s="23">
        <f>90</f>
        <v>90</v>
      </c>
    </row>
    <row r="4" spans="1:7" x14ac:dyDescent="0.2">
      <c r="A4" s="2">
        <v>2</v>
      </c>
      <c r="B4" s="2" t="s">
        <v>84</v>
      </c>
      <c r="C4" s="2" t="s">
        <v>52</v>
      </c>
      <c r="D4" s="2">
        <v>1120</v>
      </c>
      <c r="E4" s="25" t="s">
        <v>85</v>
      </c>
      <c r="F4" s="22" t="s">
        <v>86</v>
      </c>
      <c r="G4" s="23">
        <v>75</v>
      </c>
    </row>
    <row r="5" spans="1:7" x14ac:dyDescent="0.2">
      <c r="E5" s="25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15"/>
  <sheetViews>
    <sheetView workbookViewId="0">
      <selection activeCell="C19" sqref="C19"/>
    </sheetView>
  </sheetViews>
  <sheetFormatPr baseColWidth="10" defaultColWidth="8.83203125" defaultRowHeight="15" x14ac:dyDescent="0.2"/>
  <cols>
    <col min="2" max="2" width="25.1640625" customWidth="1"/>
    <col min="5" max="5" width="11.1640625" bestFit="1" customWidth="1"/>
    <col min="6" max="6" width="11.5" bestFit="1" customWidth="1"/>
  </cols>
  <sheetData>
    <row r="1" spans="1:6" ht="51" customHeight="1" x14ac:dyDescent="0.2">
      <c r="A1" s="48" t="s">
        <v>88</v>
      </c>
      <c r="B1" s="49"/>
      <c r="C1" s="49"/>
      <c r="D1" s="49"/>
      <c r="E1" s="49"/>
      <c r="F1" s="50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6400</v>
      </c>
      <c r="E3" s="4">
        <v>46300</v>
      </c>
      <c r="F3" s="4">
        <v>46386</v>
      </c>
    </row>
    <row r="4" spans="1:6" x14ac:dyDescent="0.2">
      <c r="A4" s="2">
        <v>2</v>
      </c>
      <c r="B4" s="2" t="s">
        <v>53</v>
      </c>
      <c r="C4" s="2" t="s">
        <v>52</v>
      </c>
      <c r="D4" s="2">
        <v>6400</v>
      </c>
      <c r="E4" s="4">
        <v>46300</v>
      </c>
      <c r="F4" s="4">
        <v>46386</v>
      </c>
    </row>
    <row r="5" spans="1:6" x14ac:dyDescent="0.2">
      <c r="A5" s="2">
        <v>3</v>
      </c>
      <c r="B5" s="5" t="s">
        <v>89</v>
      </c>
      <c r="C5" s="5" t="s">
        <v>55</v>
      </c>
      <c r="D5" s="2">
        <v>2688</v>
      </c>
      <c r="E5" s="3">
        <v>46371</v>
      </c>
      <c r="F5" s="3">
        <v>46386</v>
      </c>
    </row>
    <row r="6" spans="1:6" x14ac:dyDescent="0.2">
      <c r="A6" s="2">
        <v>4</v>
      </c>
      <c r="B6" s="2" t="s">
        <v>56</v>
      </c>
      <c r="C6" s="2" t="s">
        <v>52</v>
      </c>
      <c r="D6" s="2">
        <v>960</v>
      </c>
      <c r="E6" s="4">
        <v>46315</v>
      </c>
      <c r="F6" s="4">
        <v>46402</v>
      </c>
    </row>
    <row r="7" spans="1:6" x14ac:dyDescent="0.2">
      <c r="A7" s="2">
        <v>5</v>
      </c>
      <c r="B7" s="2" t="s">
        <v>57</v>
      </c>
      <c r="C7" s="2" t="s">
        <v>52</v>
      </c>
      <c r="D7" s="2">
        <v>408</v>
      </c>
      <c r="E7" s="4">
        <v>46320</v>
      </c>
      <c r="F7" s="4">
        <v>46417</v>
      </c>
    </row>
    <row r="8" spans="1:6" x14ac:dyDescent="0.2">
      <c r="A8" s="2">
        <v>6</v>
      </c>
      <c r="B8" s="2" t="s">
        <v>58</v>
      </c>
      <c r="C8" s="2" t="s">
        <v>52</v>
      </c>
      <c r="D8" s="2">
        <v>408</v>
      </c>
      <c r="E8" s="4">
        <v>46331</v>
      </c>
      <c r="F8" s="4">
        <v>46433</v>
      </c>
    </row>
    <row r="9" spans="1:6" x14ac:dyDescent="0.2">
      <c r="A9" s="2">
        <v>7</v>
      </c>
      <c r="B9" s="2" t="s">
        <v>90</v>
      </c>
      <c r="C9" s="2" t="s">
        <v>52</v>
      </c>
      <c r="D9" s="2">
        <v>56</v>
      </c>
      <c r="E9" s="4">
        <v>46331</v>
      </c>
      <c r="F9" s="4">
        <v>46433</v>
      </c>
    </row>
    <row r="10" spans="1:6" x14ac:dyDescent="0.2">
      <c r="A10" s="2">
        <v>8</v>
      </c>
      <c r="B10" s="2" t="s">
        <v>91</v>
      </c>
      <c r="C10" s="2" t="s">
        <v>52</v>
      </c>
      <c r="D10" s="2">
        <v>536</v>
      </c>
      <c r="E10" s="4">
        <v>46341</v>
      </c>
      <c r="F10" s="4">
        <v>46497</v>
      </c>
    </row>
    <row r="11" spans="1:6" x14ac:dyDescent="0.2">
      <c r="A11" s="2">
        <v>9</v>
      </c>
      <c r="B11" s="2" t="s">
        <v>73</v>
      </c>
      <c r="C11" s="2" t="s">
        <v>55</v>
      </c>
      <c r="D11" s="2">
        <v>2400</v>
      </c>
      <c r="E11" s="4">
        <v>46341</v>
      </c>
      <c r="F11" s="4">
        <v>46492</v>
      </c>
    </row>
    <row r="12" spans="1:6" x14ac:dyDescent="0.2">
      <c r="A12" s="2">
        <v>10</v>
      </c>
      <c r="B12" s="2" t="s">
        <v>74</v>
      </c>
      <c r="C12" s="2" t="s">
        <v>75</v>
      </c>
      <c r="D12" s="2">
        <v>40</v>
      </c>
      <c r="E12" s="4">
        <v>46341</v>
      </c>
      <c r="F12" s="4">
        <v>46492</v>
      </c>
    </row>
    <row r="13" spans="1:6" x14ac:dyDescent="0.2">
      <c r="A13" s="2">
        <v>11</v>
      </c>
      <c r="B13" s="2" t="s">
        <v>62</v>
      </c>
      <c r="C13" s="2" t="s">
        <v>63</v>
      </c>
      <c r="D13" s="2">
        <v>720</v>
      </c>
      <c r="E13" s="4">
        <v>46371</v>
      </c>
      <c r="F13" s="4">
        <v>46507</v>
      </c>
    </row>
    <row r="14" spans="1:6" x14ac:dyDescent="0.2">
      <c r="A14" s="2">
        <v>12</v>
      </c>
      <c r="B14" s="2" t="s">
        <v>77</v>
      </c>
      <c r="C14" s="2" t="s">
        <v>55</v>
      </c>
      <c r="D14" s="2">
        <v>480</v>
      </c>
      <c r="E14" s="4">
        <v>46341</v>
      </c>
      <c r="F14" s="4">
        <v>46497</v>
      </c>
    </row>
    <row r="15" spans="1:6" x14ac:dyDescent="0.2">
      <c r="A15" s="2">
        <v>13</v>
      </c>
      <c r="B15" s="2" t="s">
        <v>92</v>
      </c>
      <c r="C15" s="2" t="s">
        <v>55</v>
      </c>
      <c r="D15" s="2">
        <v>24</v>
      </c>
      <c r="E15" s="4">
        <v>46447</v>
      </c>
      <c r="F15" s="4">
        <v>46507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13"/>
  <sheetViews>
    <sheetView workbookViewId="0">
      <selection activeCell="A26" sqref="A26"/>
    </sheetView>
  </sheetViews>
  <sheetFormatPr baseColWidth="10" defaultColWidth="8.83203125" defaultRowHeight="15" x14ac:dyDescent="0.2"/>
  <cols>
    <col min="2" max="2" width="32.5" customWidth="1"/>
    <col min="3" max="3" width="9.5" customWidth="1"/>
    <col min="4" max="4" width="10.5" customWidth="1"/>
    <col min="5" max="5" width="11.1640625" bestFit="1" customWidth="1"/>
    <col min="6" max="6" width="11.5" bestFit="1" customWidth="1"/>
  </cols>
  <sheetData>
    <row r="1" spans="1:6" ht="39" customHeight="1" x14ac:dyDescent="0.2">
      <c r="A1" s="51" t="s">
        <v>93</v>
      </c>
      <c r="B1" s="52"/>
      <c r="C1" s="52"/>
      <c r="D1" s="52"/>
      <c r="E1" s="52"/>
      <c r="F1" s="52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850</v>
      </c>
      <c r="E3" s="4">
        <v>46357</v>
      </c>
      <c r="F3" s="4">
        <v>46402</v>
      </c>
    </row>
    <row r="4" spans="1:6" x14ac:dyDescent="0.2">
      <c r="A4" s="2">
        <v>2</v>
      </c>
      <c r="B4" s="2" t="s">
        <v>53</v>
      </c>
      <c r="C4" s="2" t="s">
        <v>52</v>
      </c>
      <c r="D4" s="2">
        <v>850</v>
      </c>
      <c r="E4" s="4">
        <v>46357</v>
      </c>
      <c r="F4" s="4">
        <v>46402</v>
      </c>
    </row>
    <row r="5" spans="1:6" x14ac:dyDescent="0.2">
      <c r="A5" s="5">
        <v>1</v>
      </c>
      <c r="B5" s="5" t="s">
        <v>89</v>
      </c>
      <c r="C5" s="5" t="s">
        <v>55</v>
      </c>
      <c r="D5" s="5">
        <v>760</v>
      </c>
      <c r="E5" s="4">
        <v>46404</v>
      </c>
      <c r="F5" s="4">
        <v>46409</v>
      </c>
    </row>
    <row r="6" spans="1:6" x14ac:dyDescent="0.2">
      <c r="A6" s="2">
        <v>3</v>
      </c>
      <c r="B6" s="2" t="s">
        <v>56</v>
      </c>
      <c r="C6" s="2" t="s">
        <v>52</v>
      </c>
      <c r="D6" s="2">
        <v>264</v>
      </c>
      <c r="E6" s="4">
        <v>46409</v>
      </c>
      <c r="F6" s="4">
        <v>46433</v>
      </c>
    </row>
    <row r="7" spans="1:6" x14ac:dyDescent="0.2">
      <c r="A7" s="2">
        <v>4</v>
      </c>
      <c r="B7" s="2" t="s">
        <v>57</v>
      </c>
      <c r="C7" s="2" t="s">
        <v>52</v>
      </c>
      <c r="D7" s="2">
        <v>114</v>
      </c>
      <c r="E7" s="4">
        <v>46434</v>
      </c>
      <c r="F7" s="4">
        <v>46439</v>
      </c>
    </row>
    <row r="8" spans="1:6" x14ac:dyDescent="0.2">
      <c r="A8" s="2">
        <v>5</v>
      </c>
      <c r="B8" s="2" t="s">
        <v>58</v>
      </c>
      <c r="C8" s="2" t="s">
        <v>52</v>
      </c>
      <c r="D8" s="2">
        <v>114</v>
      </c>
      <c r="E8" s="4">
        <v>46442</v>
      </c>
      <c r="F8" s="4">
        <v>46446</v>
      </c>
    </row>
    <row r="9" spans="1:6" x14ac:dyDescent="0.2">
      <c r="A9" s="2">
        <v>7</v>
      </c>
      <c r="B9" s="2" t="s">
        <v>91</v>
      </c>
      <c r="C9" s="2" t="s">
        <v>52</v>
      </c>
      <c r="D9" s="2">
        <v>160</v>
      </c>
      <c r="E9" s="4">
        <v>46447</v>
      </c>
      <c r="F9" s="4">
        <v>46507</v>
      </c>
    </row>
    <row r="10" spans="1:6" x14ac:dyDescent="0.2">
      <c r="A10" s="2">
        <v>6</v>
      </c>
      <c r="B10" s="2" t="s">
        <v>73</v>
      </c>
      <c r="C10" s="2" t="s">
        <v>55</v>
      </c>
      <c r="D10" s="2">
        <v>100</v>
      </c>
      <c r="E10" s="4">
        <v>46447</v>
      </c>
      <c r="F10" s="4">
        <v>46507</v>
      </c>
    </row>
    <row r="11" spans="1:6" x14ac:dyDescent="0.2">
      <c r="A11" s="2">
        <v>7</v>
      </c>
      <c r="B11" s="2" t="s">
        <v>74</v>
      </c>
      <c r="C11" s="2" t="s">
        <v>75</v>
      </c>
      <c r="D11" s="2">
        <v>9</v>
      </c>
      <c r="E11" s="4">
        <v>46447</v>
      </c>
      <c r="F11" s="4">
        <v>46507</v>
      </c>
    </row>
    <row r="12" spans="1:6" x14ac:dyDescent="0.2">
      <c r="A12" s="2">
        <v>8</v>
      </c>
      <c r="B12" s="2" t="s">
        <v>77</v>
      </c>
      <c r="C12" s="2" t="s">
        <v>55</v>
      </c>
      <c r="D12" s="2">
        <v>100</v>
      </c>
      <c r="E12" s="4">
        <v>46447</v>
      </c>
      <c r="F12" s="4">
        <v>46507</v>
      </c>
    </row>
    <row r="13" spans="1:6" x14ac:dyDescent="0.2">
      <c r="A13" s="2">
        <v>9</v>
      </c>
      <c r="B13" s="2" t="s">
        <v>92</v>
      </c>
      <c r="C13" s="2" t="s">
        <v>55</v>
      </c>
      <c r="D13" s="2">
        <v>3</v>
      </c>
      <c r="E13" s="4">
        <v>46447</v>
      </c>
      <c r="F13" s="4">
        <v>46507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15"/>
  <sheetViews>
    <sheetView workbookViewId="0">
      <selection activeCell="D21" sqref="D21"/>
    </sheetView>
  </sheetViews>
  <sheetFormatPr baseColWidth="10" defaultColWidth="8.83203125" defaultRowHeight="15" customHeight="1" x14ac:dyDescent="0.2"/>
  <cols>
    <col min="2" max="2" width="27.33203125" bestFit="1" customWidth="1"/>
    <col min="3" max="3" width="11.5" customWidth="1"/>
    <col min="4" max="4" width="14.5" customWidth="1"/>
    <col min="5" max="6" width="11.5" bestFit="1" customWidth="1"/>
  </cols>
  <sheetData>
    <row r="1" spans="1:6" ht="42.75" customHeight="1" x14ac:dyDescent="0.2">
      <c r="A1" s="53" t="s">
        <v>94</v>
      </c>
      <c r="B1" s="53"/>
      <c r="C1" s="53"/>
      <c r="D1" s="53"/>
      <c r="E1" s="53"/>
      <c r="F1" s="53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1600</v>
      </c>
      <c r="E3" s="4">
        <v>46300</v>
      </c>
      <c r="F3" s="4">
        <v>46386</v>
      </c>
    </row>
    <row r="4" spans="1:6" x14ac:dyDescent="0.2">
      <c r="A4" s="2">
        <v>2</v>
      </c>
      <c r="B4" s="2" t="s">
        <v>53</v>
      </c>
      <c r="C4" s="2" t="s">
        <v>52</v>
      </c>
      <c r="D4" s="2">
        <v>1600</v>
      </c>
      <c r="E4" s="4">
        <v>46300</v>
      </c>
      <c r="F4" s="4">
        <v>46386</v>
      </c>
    </row>
    <row r="5" spans="1:6" x14ac:dyDescent="0.2">
      <c r="A5" s="2">
        <v>3</v>
      </c>
      <c r="B5" s="5" t="s">
        <v>89</v>
      </c>
      <c r="C5" s="5" t="s">
        <v>55</v>
      </c>
      <c r="D5" s="2">
        <v>672</v>
      </c>
      <c r="E5" s="3">
        <v>46371</v>
      </c>
      <c r="F5" s="3">
        <v>46386</v>
      </c>
    </row>
    <row r="6" spans="1:6" x14ac:dyDescent="0.2">
      <c r="A6" s="2">
        <v>4</v>
      </c>
      <c r="B6" s="2" t="s">
        <v>56</v>
      </c>
      <c r="C6" s="2" t="s">
        <v>52</v>
      </c>
      <c r="D6" s="2">
        <v>240</v>
      </c>
      <c r="E6" s="4">
        <v>46315</v>
      </c>
      <c r="F6" s="4">
        <v>46402</v>
      </c>
    </row>
    <row r="7" spans="1:6" x14ac:dyDescent="0.2">
      <c r="A7" s="2">
        <v>5</v>
      </c>
      <c r="B7" s="2" t="s">
        <v>57</v>
      </c>
      <c r="C7" s="2" t="s">
        <v>52</v>
      </c>
      <c r="D7" s="2">
        <v>102</v>
      </c>
      <c r="E7" s="4">
        <v>46320</v>
      </c>
      <c r="F7" s="4">
        <v>46417</v>
      </c>
    </row>
    <row r="8" spans="1:6" x14ac:dyDescent="0.2">
      <c r="A8" s="2">
        <v>6</v>
      </c>
      <c r="B8" s="2" t="s">
        <v>58</v>
      </c>
      <c r="C8" s="2" t="s">
        <v>52</v>
      </c>
      <c r="D8" s="2">
        <v>102</v>
      </c>
      <c r="E8" s="4">
        <v>46331</v>
      </c>
      <c r="F8" s="4">
        <v>46433</v>
      </c>
    </row>
    <row r="9" spans="1:6" x14ac:dyDescent="0.2">
      <c r="A9" s="2">
        <v>7</v>
      </c>
      <c r="B9" s="2" t="s">
        <v>90</v>
      </c>
      <c r="C9" s="2" t="s">
        <v>52</v>
      </c>
      <c r="D9" s="2">
        <v>14</v>
      </c>
      <c r="E9" s="4">
        <v>46331</v>
      </c>
      <c r="F9" s="4">
        <v>46433</v>
      </c>
    </row>
    <row r="10" spans="1:6" x14ac:dyDescent="0.2">
      <c r="A10" s="2">
        <v>8</v>
      </c>
      <c r="B10" s="2" t="s">
        <v>91</v>
      </c>
      <c r="C10" s="2" t="s">
        <v>52</v>
      </c>
      <c r="D10" s="2">
        <v>134</v>
      </c>
      <c r="E10" s="4">
        <v>46341</v>
      </c>
      <c r="F10" s="4">
        <v>46497</v>
      </c>
    </row>
    <row r="11" spans="1:6" x14ac:dyDescent="0.2">
      <c r="A11" s="2">
        <v>9</v>
      </c>
      <c r="B11" s="2" t="s">
        <v>73</v>
      </c>
      <c r="C11" s="2" t="s">
        <v>55</v>
      </c>
      <c r="D11" s="2">
        <v>600</v>
      </c>
      <c r="E11" s="4">
        <v>46341</v>
      </c>
      <c r="F11" s="4">
        <v>46492</v>
      </c>
    </row>
    <row r="12" spans="1:6" x14ac:dyDescent="0.2">
      <c r="A12" s="2">
        <v>10</v>
      </c>
      <c r="B12" s="2" t="s">
        <v>74</v>
      </c>
      <c r="C12" s="2" t="s">
        <v>75</v>
      </c>
      <c r="D12" s="2">
        <v>10</v>
      </c>
      <c r="E12" s="4">
        <v>46341</v>
      </c>
      <c r="F12" s="4">
        <v>46492</v>
      </c>
    </row>
    <row r="13" spans="1:6" x14ac:dyDescent="0.2">
      <c r="A13" s="2">
        <v>11</v>
      </c>
      <c r="B13" s="2" t="s">
        <v>62</v>
      </c>
      <c r="C13" s="2" t="s">
        <v>63</v>
      </c>
      <c r="D13" s="2">
        <v>180</v>
      </c>
      <c r="E13" s="4">
        <v>46371</v>
      </c>
      <c r="F13" s="4">
        <v>46507</v>
      </c>
    </row>
    <row r="14" spans="1:6" x14ac:dyDescent="0.2">
      <c r="A14" s="2">
        <v>12</v>
      </c>
      <c r="B14" s="2" t="s">
        <v>77</v>
      </c>
      <c r="C14" s="2" t="s">
        <v>55</v>
      </c>
      <c r="D14" s="2">
        <v>120</v>
      </c>
      <c r="E14" s="4">
        <v>46341</v>
      </c>
      <c r="F14" s="4">
        <v>46497</v>
      </c>
    </row>
    <row r="15" spans="1:6" x14ac:dyDescent="0.2">
      <c r="A15" s="2">
        <v>13</v>
      </c>
      <c r="B15" s="2" t="s">
        <v>92</v>
      </c>
      <c r="C15" s="2" t="s">
        <v>55</v>
      </c>
      <c r="D15" s="2">
        <v>6</v>
      </c>
      <c r="E15" s="4">
        <v>46447</v>
      </c>
      <c r="F15" s="4">
        <v>46507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3"/>
  <sheetViews>
    <sheetView workbookViewId="0">
      <selection activeCell="R31" sqref="R31"/>
    </sheetView>
  </sheetViews>
  <sheetFormatPr baseColWidth="10" defaultColWidth="8.83203125" defaultRowHeight="15" x14ac:dyDescent="0.2"/>
  <cols>
    <col min="2" max="2" width="15.83203125" bestFit="1" customWidth="1"/>
    <col min="5" max="5" width="11.1640625" bestFit="1" customWidth="1"/>
    <col min="6" max="6" width="11.5" bestFit="1" customWidth="1"/>
  </cols>
  <sheetData>
    <row r="1" spans="1:6" ht="45" customHeight="1" x14ac:dyDescent="0.2">
      <c r="A1" s="44" t="s">
        <v>95</v>
      </c>
      <c r="B1" s="44"/>
      <c r="C1" s="44"/>
      <c r="D1" s="44"/>
      <c r="E1" s="44"/>
      <c r="F1" s="44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900</v>
      </c>
      <c r="E3" s="4">
        <v>46305</v>
      </c>
      <c r="F3" s="4">
        <v>46336</v>
      </c>
    </row>
    <row r="4" spans="1:6" x14ac:dyDescent="0.2">
      <c r="A4" s="2">
        <v>2</v>
      </c>
      <c r="B4" s="2" t="s">
        <v>53</v>
      </c>
      <c r="C4" s="2" t="s">
        <v>52</v>
      </c>
      <c r="D4" s="2">
        <v>900</v>
      </c>
      <c r="E4" s="4">
        <v>46305</v>
      </c>
      <c r="F4" s="4">
        <v>46336</v>
      </c>
    </row>
    <row r="5" spans="1:6" x14ac:dyDescent="0.2">
      <c r="A5" s="2">
        <v>3</v>
      </c>
      <c r="B5" s="2" t="s">
        <v>56</v>
      </c>
      <c r="C5" s="2" t="s">
        <v>52</v>
      </c>
      <c r="D5" s="2">
        <v>275</v>
      </c>
      <c r="E5" s="4">
        <v>46320</v>
      </c>
      <c r="F5" s="4">
        <v>46341</v>
      </c>
    </row>
    <row r="6" spans="1:6" x14ac:dyDescent="0.2">
      <c r="A6" s="2">
        <v>4</v>
      </c>
      <c r="B6" s="2" t="s">
        <v>57</v>
      </c>
      <c r="C6" s="2" t="s">
        <v>52</v>
      </c>
      <c r="D6" s="2">
        <v>125</v>
      </c>
      <c r="E6" s="4">
        <v>46341</v>
      </c>
      <c r="F6" s="4">
        <v>46346</v>
      </c>
    </row>
    <row r="7" spans="1:6" x14ac:dyDescent="0.2">
      <c r="A7" s="2">
        <v>5</v>
      </c>
      <c r="B7" s="2" t="s">
        <v>58</v>
      </c>
      <c r="C7" s="2" t="s">
        <v>52</v>
      </c>
      <c r="D7" s="2">
        <v>125</v>
      </c>
      <c r="E7" s="4">
        <v>46348</v>
      </c>
      <c r="F7" s="4">
        <v>46356</v>
      </c>
    </row>
    <row r="8" spans="1:6" x14ac:dyDescent="0.2">
      <c r="A8" s="2">
        <v>6</v>
      </c>
      <c r="B8" s="2" t="s">
        <v>84</v>
      </c>
      <c r="C8" s="2" t="s">
        <v>52</v>
      </c>
      <c r="D8" s="2">
        <v>165</v>
      </c>
      <c r="E8" s="4">
        <v>46356</v>
      </c>
      <c r="F8" s="4">
        <v>46402</v>
      </c>
    </row>
    <row r="9" spans="1:6" x14ac:dyDescent="0.2">
      <c r="A9" s="2">
        <v>6</v>
      </c>
      <c r="B9" s="2" t="s">
        <v>73</v>
      </c>
      <c r="C9" s="2" t="s">
        <v>55</v>
      </c>
      <c r="D9" s="2">
        <v>160</v>
      </c>
      <c r="E9" s="4">
        <v>46356</v>
      </c>
      <c r="F9" s="4">
        <v>46402</v>
      </c>
    </row>
    <row r="10" spans="1:6" x14ac:dyDescent="0.2">
      <c r="A10" s="2">
        <v>7</v>
      </c>
      <c r="B10" s="2" t="s">
        <v>74</v>
      </c>
      <c r="C10" s="2" t="s">
        <v>75</v>
      </c>
      <c r="D10" s="2">
        <v>9</v>
      </c>
      <c r="E10" s="4">
        <v>46356</v>
      </c>
      <c r="F10" s="4">
        <v>46402</v>
      </c>
    </row>
    <row r="11" spans="1:6" x14ac:dyDescent="0.2">
      <c r="A11" s="2">
        <v>8</v>
      </c>
      <c r="B11" s="2" t="s">
        <v>77</v>
      </c>
      <c r="C11" s="2" t="s">
        <v>55</v>
      </c>
      <c r="D11" s="2">
        <v>142</v>
      </c>
      <c r="E11" s="4">
        <v>46356</v>
      </c>
      <c r="F11" s="4">
        <v>46398</v>
      </c>
    </row>
    <row r="12" spans="1:6" x14ac:dyDescent="0.2">
      <c r="A12" s="2">
        <v>9</v>
      </c>
      <c r="B12" s="2" t="s">
        <v>96</v>
      </c>
      <c r="C12" s="2" t="s">
        <v>63</v>
      </c>
      <c r="D12" s="2">
        <v>150</v>
      </c>
      <c r="E12" s="4">
        <v>46402</v>
      </c>
      <c r="F12" s="4">
        <v>46417</v>
      </c>
    </row>
    <row r="13" spans="1:6" x14ac:dyDescent="0.2">
      <c r="A13" s="2">
        <v>10</v>
      </c>
      <c r="B13" s="2" t="s">
        <v>97</v>
      </c>
      <c r="C13" s="2" t="s">
        <v>55</v>
      </c>
      <c r="D13" s="2">
        <v>3</v>
      </c>
      <c r="E13" s="4">
        <v>46371</v>
      </c>
      <c r="F13" s="4">
        <v>46419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14"/>
  <sheetViews>
    <sheetView topLeftCell="A2" workbookViewId="0">
      <selection activeCell="H14" sqref="H14"/>
    </sheetView>
  </sheetViews>
  <sheetFormatPr baseColWidth="10" defaultColWidth="8.83203125" defaultRowHeight="15" x14ac:dyDescent="0.2"/>
  <cols>
    <col min="2" max="2" width="15.83203125" bestFit="1" customWidth="1"/>
    <col min="4" max="4" width="8.1640625" bestFit="1" customWidth="1"/>
    <col min="5" max="5" width="11.1640625" bestFit="1" customWidth="1"/>
    <col min="6" max="6" width="19.5" customWidth="1"/>
    <col min="7" max="7" width="10.1640625" bestFit="1" customWidth="1"/>
  </cols>
  <sheetData>
    <row r="1" spans="1:7" x14ac:dyDescent="0.2">
      <c r="A1" s="26" t="s">
        <v>98</v>
      </c>
      <c r="E1" t="s">
        <v>99</v>
      </c>
    </row>
    <row r="2" spans="1:7" ht="42.75" customHeight="1" x14ac:dyDescent="0.2">
      <c r="A2" s="54" t="s">
        <v>100</v>
      </c>
      <c r="B2" s="54"/>
      <c r="C2" s="54"/>
      <c r="D2" s="54"/>
      <c r="E2" s="54"/>
      <c r="F2" s="54"/>
    </row>
    <row r="3" spans="1:7" x14ac:dyDescent="0.2">
      <c r="A3" s="27" t="s">
        <v>44</v>
      </c>
      <c r="B3" s="27" t="s">
        <v>45</v>
      </c>
      <c r="C3" s="27" t="s">
        <v>46</v>
      </c>
      <c r="D3" s="27" t="s">
        <v>47</v>
      </c>
      <c r="E3" s="27" t="s">
        <v>48</v>
      </c>
      <c r="F3" s="27" t="s">
        <v>11</v>
      </c>
    </row>
    <row r="4" spans="1:7" x14ac:dyDescent="0.2">
      <c r="A4" s="2">
        <v>1</v>
      </c>
      <c r="B4" s="2" t="s">
        <v>51</v>
      </c>
      <c r="C4" s="2" t="s">
        <v>52</v>
      </c>
      <c r="D4" s="2">
        <v>140</v>
      </c>
      <c r="E4" s="4">
        <v>46316</v>
      </c>
      <c r="F4" s="4">
        <v>46321</v>
      </c>
    </row>
    <row r="5" spans="1:7" x14ac:dyDescent="0.2">
      <c r="A5" s="2">
        <v>2</v>
      </c>
      <c r="B5" s="2" t="s">
        <v>53</v>
      </c>
      <c r="C5" s="2" t="s">
        <v>52</v>
      </c>
      <c r="D5" s="2">
        <v>140</v>
      </c>
      <c r="E5" s="4">
        <v>46316</v>
      </c>
      <c r="F5" s="4">
        <v>46321</v>
      </c>
    </row>
    <row r="6" spans="1:7" x14ac:dyDescent="0.2">
      <c r="A6" s="2">
        <v>4</v>
      </c>
      <c r="B6" s="2" t="s">
        <v>56</v>
      </c>
      <c r="C6" s="2" t="s">
        <v>52</v>
      </c>
      <c r="D6" s="2">
        <v>50</v>
      </c>
      <c r="E6" s="4">
        <v>46323</v>
      </c>
      <c r="F6" s="4">
        <v>46329</v>
      </c>
    </row>
    <row r="7" spans="1:7" x14ac:dyDescent="0.2">
      <c r="A7" s="2">
        <v>5</v>
      </c>
      <c r="B7" s="2" t="s">
        <v>57</v>
      </c>
      <c r="C7" s="2" t="s">
        <v>52</v>
      </c>
      <c r="D7" s="2">
        <v>21</v>
      </c>
      <c r="E7" s="4">
        <v>46328</v>
      </c>
      <c r="F7" s="4">
        <v>46332</v>
      </c>
    </row>
    <row r="8" spans="1:7" x14ac:dyDescent="0.2">
      <c r="A8" s="2">
        <v>6</v>
      </c>
      <c r="B8" s="2" t="s">
        <v>90</v>
      </c>
      <c r="C8" s="2" t="s">
        <v>52</v>
      </c>
      <c r="D8" s="2">
        <v>30</v>
      </c>
      <c r="E8" s="4">
        <v>46338</v>
      </c>
      <c r="F8" s="4">
        <v>46343</v>
      </c>
    </row>
    <row r="9" spans="1:7" x14ac:dyDescent="0.2">
      <c r="A9" s="2">
        <v>7</v>
      </c>
      <c r="B9" s="2" t="s">
        <v>84</v>
      </c>
      <c r="C9" s="2" t="s">
        <v>52</v>
      </c>
      <c r="D9" s="2">
        <v>120</v>
      </c>
      <c r="E9" s="4">
        <v>46346</v>
      </c>
      <c r="F9" s="4">
        <v>46401</v>
      </c>
    </row>
    <row r="10" spans="1:7" x14ac:dyDescent="0.2">
      <c r="A10" s="2">
        <v>8</v>
      </c>
      <c r="B10" s="2" t="s">
        <v>73</v>
      </c>
      <c r="C10" s="2" t="s">
        <v>55</v>
      </c>
      <c r="D10" s="2">
        <v>100</v>
      </c>
      <c r="E10" s="4">
        <v>46346</v>
      </c>
      <c r="F10" s="4">
        <v>46401</v>
      </c>
    </row>
    <row r="11" spans="1:7" x14ac:dyDescent="0.2">
      <c r="A11" s="2">
        <v>9</v>
      </c>
      <c r="B11" s="2" t="s">
        <v>74</v>
      </c>
      <c r="C11" s="2" t="s">
        <v>75</v>
      </c>
      <c r="D11" s="2">
        <v>7</v>
      </c>
      <c r="E11" s="4">
        <v>46346</v>
      </c>
      <c r="F11" s="4">
        <v>46401</v>
      </c>
    </row>
    <row r="12" spans="1:7" x14ac:dyDescent="0.2">
      <c r="A12" s="2">
        <v>10</v>
      </c>
      <c r="B12" s="2" t="s">
        <v>77</v>
      </c>
      <c r="C12" s="2" t="s">
        <v>55</v>
      </c>
      <c r="D12" s="2">
        <v>70</v>
      </c>
      <c r="E12" s="4">
        <v>46346</v>
      </c>
      <c r="F12" s="4">
        <v>46401</v>
      </c>
    </row>
    <row r="13" spans="1:7" x14ac:dyDescent="0.2">
      <c r="A13" s="2">
        <v>11</v>
      </c>
      <c r="B13" s="2" t="s">
        <v>92</v>
      </c>
      <c r="C13" s="2" t="s">
        <v>55</v>
      </c>
      <c r="D13" s="2">
        <v>3</v>
      </c>
      <c r="E13" s="4">
        <v>46346</v>
      </c>
      <c r="F13" s="4">
        <v>46401</v>
      </c>
    </row>
    <row r="14" spans="1:7" x14ac:dyDescent="0.2">
      <c r="A14" s="2">
        <v>12</v>
      </c>
      <c r="B14" s="2" t="s">
        <v>62</v>
      </c>
      <c r="C14" s="2" t="s">
        <v>63</v>
      </c>
      <c r="D14" s="2">
        <v>160</v>
      </c>
      <c r="E14" s="4">
        <v>46402</v>
      </c>
      <c r="F14" s="4">
        <v>46418</v>
      </c>
      <c r="G14" s="6"/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13"/>
  <sheetViews>
    <sheetView workbookViewId="0">
      <selection activeCell="C16" sqref="C16"/>
    </sheetView>
  </sheetViews>
  <sheetFormatPr baseColWidth="10" defaultColWidth="8.83203125" defaultRowHeight="15" x14ac:dyDescent="0.2"/>
  <cols>
    <col min="2" max="2" width="15.83203125" bestFit="1" customWidth="1"/>
    <col min="5" max="5" width="11.1640625" bestFit="1" customWidth="1"/>
    <col min="6" max="6" width="11.5" bestFit="1" customWidth="1"/>
  </cols>
  <sheetData>
    <row r="1" spans="1:6" ht="36.75" customHeight="1" x14ac:dyDescent="0.2">
      <c r="A1" s="55" t="s">
        <v>101</v>
      </c>
      <c r="B1" s="56"/>
      <c r="C1" s="56"/>
      <c r="D1" s="56"/>
      <c r="E1" s="56"/>
      <c r="F1" s="56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1400</v>
      </c>
      <c r="E3" s="15">
        <v>46402</v>
      </c>
      <c r="F3" s="15">
        <v>46433</v>
      </c>
    </row>
    <row r="4" spans="1:6" x14ac:dyDescent="0.2">
      <c r="A4" s="2">
        <v>2</v>
      </c>
      <c r="B4" s="2" t="s">
        <v>53</v>
      </c>
      <c r="C4" s="2" t="s">
        <v>52</v>
      </c>
      <c r="D4" s="2">
        <v>1400</v>
      </c>
      <c r="E4" s="15">
        <v>46402</v>
      </c>
      <c r="F4" s="15">
        <v>46433</v>
      </c>
    </row>
    <row r="5" spans="1:6" x14ac:dyDescent="0.2">
      <c r="A5" s="2">
        <v>3</v>
      </c>
      <c r="B5" s="2" t="s">
        <v>56</v>
      </c>
      <c r="C5" s="2" t="s">
        <v>52</v>
      </c>
      <c r="D5" s="2">
        <v>360</v>
      </c>
      <c r="E5" s="15">
        <v>46428</v>
      </c>
      <c r="F5" s="15">
        <v>46446</v>
      </c>
    </row>
    <row r="6" spans="1:6" x14ac:dyDescent="0.2">
      <c r="A6" s="2">
        <v>4</v>
      </c>
      <c r="B6" s="2" t="s">
        <v>57</v>
      </c>
      <c r="C6" s="2" t="s">
        <v>52</v>
      </c>
      <c r="D6" s="2">
        <v>160</v>
      </c>
      <c r="E6" s="15">
        <v>46447</v>
      </c>
      <c r="F6" s="15">
        <v>46476</v>
      </c>
    </row>
    <row r="7" spans="1:6" x14ac:dyDescent="0.2">
      <c r="A7" s="2">
        <v>5</v>
      </c>
      <c r="B7" s="2" t="s">
        <v>58</v>
      </c>
      <c r="C7" s="2" t="s">
        <v>52</v>
      </c>
      <c r="D7" s="2">
        <v>160</v>
      </c>
      <c r="E7" s="15">
        <v>46471</v>
      </c>
      <c r="F7" s="15">
        <v>46487</v>
      </c>
    </row>
    <row r="8" spans="1:6" x14ac:dyDescent="0.2">
      <c r="A8" s="2">
        <v>6</v>
      </c>
      <c r="B8" s="2" t="s">
        <v>61</v>
      </c>
      <c r="C8" s="2" t="s">
        <v>55</v>
      </c>
      <c r="D8" s="2">
        <v>1050</v>
      </c>
      <c r="E8" s="15">
        <v>46479</v>
      </c>
      <c r="F8" s="15">
        <v>46568</v>
      </c>
    </row>
    <row r="9" spans="1:6" x14ac:dyDescent="0.2">
      <c r="A9" s="2">
        <v>12</v>
      </c>
      <c r="B9" s="2" t="s">
        <v>84</v>
      </c>
      <c r="C9" s="2" t="s">
        <v>102</v>
      </c>
      <c r="D9" s="2">
        <v>50</v>
      </c>
      <c r="E9" s="15">
        <v>46419</v>
      </c>
      <c r="F9" s="15">
        <v>46476</v>
      </c>
    </row>
    <row r="10" spans="1:6" x14ac:dyDescent="0.2">
      <c r="A10" s="2">
        <v>7</v>
      </c>
      <c r="B10" s="2" t="s">
        <v>73</v>
      </c>
      <c r="C10" s="2" t="s">
        <v>55</v>
      </c>
      <c r="D10" s="2">
        <v>600</v>
      </c>
      <c r="E10" s="15">
        <v>46419</v>
      </c>
      <c r="F10" s="15">
        <v>46476</v>
      </c>
    </row>
    <row r="11" spans="1:6" x14ac:dyDescent="0.2">
      <c r="A11" s="2">
        <v>8</v>
      </c>
      <c r="B11" s="2" t="s">
        <v>74</v>
      </c>
      <c r="C11" s="2" t="s">
        <v>75</v>
      </c>
      <c r="D11" s="2">
        <v>3</v>
      </c>
      <c r="E11" s="15">
        <v>46419</v>
      </c>
      <c r="F11" s="15">
        <v>46476</v>
      </c>
    </row>
    <row r="12" spans="1:6" x14ac:dyDescent="0.2">
      <c r="A12" s="2">
        <v>9</v>
      </c>
      <c r="B12" s="2" t="s">
        <v>76</v>
      </c>
      <c r="C12" s="2" t="s">
        <v>75</v>
      </c>
      <c r="D12" s="2">
        <v>0.5</v>
      </c>
      <c r="E12" s="15">
        <v>46419</v>
      </c>
      <c r="F12" s="15">
        <v>46476</v>
      </c>
    </row>
    <row r="13" spans="1:6" x14ac:dyDescent="0.2">
      <c r="A13" s="2">
        <v>11</v>
      </c>
      <c r="B13" s="2" t="s">
        <v>62</v>
      </c>
      <c r="C13" s="2" t="s">
        <v>63</v>
      </c>
      <c r="D13" s="2">
        <v>350</v>
      </c>
      <c r="E13" s="15">
        <v>46471</v>
      </c>
      <c r="F13" s="15">
        <v>46568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10"/>
  <sheetViews>
    <sheetView workbookViewId="0">
      <selection activeCell="F10" sqref="F10"/>
    </sheetView>
  </sheetViews>
  <sheetFormatPr baseColWidth="10" defaultColWidth="16.5" defaultRowHeight="15" x14ac:dyDescent="0.2"/>
  <cols>
    <col min="1" max="1" width="8.83203125" customWidth="1"/>
  </cols>
  <sheetData>
    <row r="1" spans="1:6" ht="37.5" customHeight="1" x14ac:dyDescent="0.2">
      <c r="A1" s="57" t="s">
        <v>103</v>
      </c>
      <c r="B1" s="58"/>
      <c r="C1" s="58"/>
      <c r="D1" s="58"/>
      <c r="E1" s="58"/>
      <c r="F1" s="58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1000</v>
      </c>
      <c r="E3" s="4">
        <v>46327</v>
      </c>
      <c r="F3" s="4">
        <v>46366</v>
      </c>
    </row>
    <row r="4" spans="1:6" x14ac:dyDescent="0.2">
      <c r="A4" s="2">
        <v>2</v>
      </c>
      <c r="B4" s="2" t="s">
        <v>53</v>
      </c>
      <c r="C4" s="2" t="s">
        <v>52</v>
      </c>
      <c r="D4" s="2">
        <v>1000</v>
      </c>
      <c r="E4" s="4">
        <v>46327</v>
      </c>
      <c r="F4" s="4">
        <v>46366</v>
      </c>
    </row>
    <row r="5" spans="1:6" x14ac:dyDescent="0.2">
      <c r="A5" s="2">
        <v>3</v>
      </c>
      <c r="B5" s="2" t="s">
        <v>104</v>
      </c>
      <c r="C5" s="2" t="s">
        <v>55</v>
      </c>
      <c r="D5" s="2">
        <v>1200</v>
      </c>
      <c r="E5" s="4">
        <v>46351</v>
      </c>
      <c r="F5" s="4">
        <v>46368</v>
      </c>
    </row>
    <row r="6" spans="1:6" x14ac:dyDescent="0.2">
      <c r="A6" s="2">
        <v>4</v>
      </c>
      <c r="B6" s="2" t="s">
        <v>56</v>
      </c>
      <c r="C6" s="2" t="s">
        <v>52</v>
      </c>
      <c r="D6" s="2">
        <v>420</v>
      </c>
      <c r="E6" s="4">
        <v>46354</v>
      </c>
      <c r="F6" s="4">
        <v>46376</v>
      </c>
    </row>
    <row r="7" spans="1:6" x14ac:dyDescent="0.2">
      <c r="A7" s="2">
        <v>5</v>
      </c>
      <c r="B7" s="2" t="s">
        <v>57</v>
      </c>
      <c r="C7" s="2" t="s">
        <v>52</v>
      </c>
      <c r="D7" s="2">
        <v>180</v>
      </c>
      <c r="E7" s="4">
        <v>46361</v>
      </c>
      <c r="F7" s="4">
        <v>46381</v>
      </c>
    </row>
    <row r="8" spans="1:6" x14ac:dyDescent="0.2">
      <c r="A8" s="2">
        <v>6</v>
      </c>
      <c r="B8" s="2" t="s">
        <v>58</v>
      </c>
      <c r="C8" s="2" t="s">
        <v>52</v>
      </c>
      <c r="D8" s="2">
        <v>180</v>
      </c>
      <c r="E8" s="4">
        <v>46382</v>
      </c>
      <c r="F8" s="4">
        <v>46387</v>
      </c>
    </row>
    <row r="9" spans="1:6" x14ac:dyDescent="0.2">
      <c r="A9" s="2">
        <v>7</v>
      </c>
      <c r="B9" s="2" t="s">
        <v>61</v>
      </c>
      <c r="C9" s="2" t="s">
        <v>55</v>
      </c>
      <c r="D9" s="2">
        <v>1120</v>
      </c>
      <c r="E9" s="4">
        <v>46381</v>
      </c>
      <c r="F9" s="4">
        <v>46446</v>
      </c>
    </row>
    <row r="10" spans="1:6" x14ac:dyDescent="0.2">
      <c r="A10" s="2">
        <v>8</v>
      </c>
      <c r="B10" s="2" t="s">
        <v>105</v>
      </c>
      <c r="C10" s="2" t="s">
        <v>106</v>
      </c>
      <c r="D10" s="2">
        <v>380</v>
      </c>
      <c r="E10" s="4">
        <v>46376</v>
      </c>
      <c r="F10" s="4">
        <v>46451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17"/>
  <sheetViews>
    <sheetView workbookViewId="0">
      <selection activeCell="F17" sqref="F17"/>
    </sheetView>
  </sheetViews>
  <sheetFormatPr baseColWidth="10" defaultColWidth="30" defaultRowHeight="15" x14ac:dyDescent="0.2"/>
  <cols>
    <col min="1" max="1" width="10.83203125" customWidth="1"/>
    <col min="3" max="6" width="17.6640625" customWidth="1"/>
  </cols>
  <sheetData>
    <row r="1" spans="1:6" x14ac:dyDescent="0.2">
      <c r="A1" s="59" t="s">
        <v>107</v>
      </c>
      <c r="B1" s="60"/>
      <c r="C1" s="60"/>
      <c r="D1" s="60"/>
      <c r="E1" s="60"/>
      <c r="F1" s="60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82</v>
      </c>
      <c r="C3" s="2" t="s">
        <v>52</v>
      </c>
      <c r="D3" s="2">
        <v>300</v>
      </c>
      <c r="E3" s="4">
        <v>46320</v>
      </c>
      <c r="F3" s="4">
        <v>46336</v>
      </c>
    </row>
    <row r="4" spans="1:6" x14ac:dyDescent="0.2">
      <c r="A4" s="2">
        <v>2</v>
      </c>
      <c r="B4" s="2" t="s">
        <v>51</v>
      </c>
      <c r="C4" s="2" t="s">
        <v>52</v>
      </c>
      <c r="D4" s="2">
        <v>2900</v>
      </c>
      <c r="E4" s="4">
        <v>46327</v>
      </c>
      <c r="F4" s="4">
        <v>46446</v>
      </c>
    </row>
    <row r="5" spans="1:6" x14ac:dyDescent="0.2">
      <c r="A5" s="2">
        <v>3</v>
      </c>
      <c r="B5" s="2" t="s">
        <v>53</v>
      </c>
      <c r="C5" s="2" t="s">
        <v>52</v>
      </c>
      <c r="D5" s="2">
        <v>3200</v>
      </c>
      <c r="E5" s="4">
        <v>46327</v>
      </c>
      <c r="F5" s="4">
        <v>46446</v>
      </c>
    </row>
    <row r="6" spans="1:6" x14ac:dyDescent="0.2">
      <c r="A6" s="2">
        <v>4</v>
      </c>
      <c r="B6" s="2" t="s">
        <v>54</v>
      </c>
      <c r="C6" s="2" t="s">
        <v>108</v>
      </c>
      <c r="D6" s="2">
        <v>2400</v>
      </c>
      <c r="E6" s="4">
        <v>46447</v>
      </c>
      <c r="F6" s="4">
        <v>46456</v>
      </c>
    </row>
    <row r="7" spans="1:6" x14ac:dyDescent="0.2">
      <c r="A7" s="2">
        <v>4</v>
      </c>
      <c r="B7" s="2" t="s">
        <v>56</v>
      </c>
      <c r="C7" s="2" t="s">
        <v>52</v>
      </c>
      <c r="D7" s="2">
        <v>830</v>
      </c>
      <c r="E7" s="4">
        <v>46371</v>
      </c>
      <c r="F7" s="4">
        <v>46451</v>
      </c>
    </row>
    <row r="8" spans="1:6" x14ac:dyDescent="0.2">
      <c r="A8" s="2">
        <v>5</v>
      </c>
      <c r="B8" s="2" t="s">
        <v>57</v>
      </c>
      <c r="C8" s="2" t="s">
        <v>52</v>
      </c>
      <c r="D8" s="2">
        <v>356</v>
      </c>
      <c r="E8" s="4">
        <v>46388</v>
      </c>
      <c r="F8" s="4">
        <v>46456</v>
      </c>
    </row>
    <row r="9" spans="1:6" x14ac:dyDescent="0.2">
      <c r="A9" s="2">
        <v>6</v>
      </c>
      <c r="B9" s="2" t="s">
        <v>58</v>
      </c>
      <c r="C9" s="2" t="s">
        <v>52</v>
      </c>
      <c r="D9" s="2">
        <v>356</v>
      </c>
      <c r="E9" s="4">
        <v>46407</v>
      </c>
      <c r="F9" s="4">
        <v>46476</v>
      </c>
    </row>
    <row r="10" spans="1:6" x14ac:dyDescent="0.2">
      <c r="A10" s="2">
        <v>7</v>
      </c>
      <c r="B10" s="2" t="s">
        <v>90</v>
      </c>
      <c r="C10" s="2" t="s">
        <v>52</v>
      </c>
      <c r="D10" s="2">
        <v>15</v>
      </c>
      <c r="E10" s="4">
        <v>46419</v>
      </c>
      <c r="F10" s="4">
        <v>46522</v>
      </c>
    </row>
    <row r="11" spans="1:6" x14ac:dyDescent="0.2">
      <c r="A11" s="2">
        <v>8</v>
      </c>
      <c r="B11" s="2" t="s">
        <v>59</v>
      </c>
      <c r="C11" s="2" t="s">
        <v>63</v>
      </c>
      <c r="D11" s="2">
        <v>100</v>
      </c>
      <c r="E11" s="4">
        <v>46341</v>
      </c>
      <c r="F11" s="4">
        <v>46402</v>
      </c>
    </row>
    <row r="12" spans="1:6" x14ac:dyDescent="0.2">
      <c r="A12" s="2">
        <v>8</v>
      </c>
      <c r="B12" s="2" t="s">
        <v>84</v>
      </c>
      <c r="C12" s="2" t="s">
        <v>52</v>
      </c>
      <c r="D12" s="2">
        <v>380</v>
      </c>
      <c r="E12" s="4">
        <v>46419</v>
      </c>
      <c r="F12" s="4">
        <v>46522</v>
      </c>
    </row>
    <row r="13" spans="1:6" x14ac:dyDescent="0.2">
      <c r="A13" s="2">
        <v>9</v>
      </c>
      <c r="B13" s="2" t="s">
        <v>73</v>
      </c>
      <c r="C13" s="2" t="s">
        <v>55</v>
      </c>
      <c r="D13" s="2">
        <v>1000</v>
      </c>
      <c r="E13" s="4">
        <v>46419</v>
      </c>
      <c r="F13" s="4">
        <v>46522</v>
      </c>
    </row>
    <row r="14" spans="1:6" x14ac:dyDescent="0.2">
      <c r="A14" s="2">
        <v>10</v>
      </c>
      <c r="B14" s="2" t="s">
        <v>74</v>
      </c>
      <c r="C14" s="2" t="s">
        <v>75</v>
      </c>
      <c r="D14" s="2">
        <v>30</v>
      </c>
      <c r="E14" s="4">
        <v>46419</v>
      </c>
      <c r="F14" s="4">
        <v>46522</v>
      </c>
    </row>
    <row r="15" spans="1:6" x14ac:dyDescent="0.2">
      <c r="A15" s="2">
        <v>11</v>
      </c>
      <c r="B15" s="2" t="s">
        <v>76</v>
      </c>
      <c r="C15" s="2" t="s">
        <v>75</v>
      </c>
      <c r="D15" s="2">
        <v>0.5</v>
      </c>
      <c r="E15" s="4">
        <v>46419</v>
      </c>
      <c r="F15" s="4">
        <v>46522</v>
      </c>
    </row>
    <row r="16" spans="1:6" x14ac:dyDescent="0.2">
      <c r="A16" s="2">
        <v>12</v>
      </c>
      <c r="B16" s="2" t="s">
        <v>77</v>
      </c>
      <c r="C16" s="2" t="s">
        <v>55</v>
      </c>
      <c r="D16" s="2">
        <v>540</v>
      </c>
      <c r="E16" s="4">
        <v>46419</v>
      </c>
      <c r="F16" s="4">
        <v>46522</v>
      </c>
    </row>
    <row r="17" spans="1:6" x14ac:dyDescent="0.2">
      <c r="A17" s="2">
        <v>13</v>
      </c>
      <c r="B17" s="2" t="s">
        <v>96</v>
      </c>
      <c r="C17" s="2" t="s">
        <v>63</v>
      </c>
      <c r="D17" s="2">
        <v>400</v>
      </c>
      <c r="E17" s="4">
        <v>46461</v>
      </c>
      <c r="F17" s="4">
        <v>46537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F13"/>
  <sheetViews>
    <sheetView workbookViewId="0">
      <selection activeCell="F13" sqref="F13"/>
    </sheetView>
  </sheetViews>
  <sheetFormatPr baseColWidth="10" defaultColWidth="14.5" defaultRowHeight="15" x14ac:dyDescent="0.2"/>
  <sheetData>
    <row r="1" spans="1:6" ht="40.5" customHeight="1" x14ac:dyDescent="0.2">
      <c r="A1" s="61" t="s">
        <v>109</v>
      </c>
      <c r="B1" s="61"/>
      <c r="C1" s="61"/>
      <c r="D1" s="61"/>
      <c r="E1" s="61"/>
      <c r="F1" s="61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400</v>
      </c>
      <c r="E3" s="4">
        <v>46363</v>
      </c>
      <c r="F3" s="4">
        <v>46371</v>
      </c>
    </row>
    <row r="4" spans="1:6" x14ac:dyDescent="0.2">
      <c r="A4" s="2">
        <v>2</v>
      </c>
      <c r="B4" s="2" t="s">
        <v>53</v>
      </c>
      <c r="C4" s="2" t="s">
        <v>52</v>
      </c>
      <c r="D4" s="2">
        <v>400</v>
      </c>
      <c r="E4" s="4">
        <v>46363</v>
      </c>
      <c r="F4" s="4">
        <v>46371</v>
      </c>
    </row>
    <row r="5" spans="1:6" x14ac:dyDescent="0.2">
      <c r="A5" s="2">
        <v>3</v>
      </c>
      <c r="B5" s="2" t="s">
        <v>110</v>
      </c>
      <c r="C5" s="2" t="s">
        <v>111</v>
      </c>
      <c r="D5" s="2">
        <v>400</v>
      </c>
      <c r="E5" s="4">
        <v>46372</v>
      </c>
      <c r="F5" s="4">
        <v>46375</v>
      </c>
    </row>
    <row r="6" spans="1:6" x14ac:dyDescent="0.2">
      <c r="A6" s="2">
        <v>3</v>
      </c>
      <c r="B6" s="2" t="s">
        <v>56</v>
      </c>
      <c r="C6" s="2" t="s">
        <v>52</v>
      </c>
      <c r="D6" s="2">
        <v>120</v>
      </c>
      <c r="E6" s="4">
        <v>46377</v>
      </c>
      <c r="F6" s="4">
        <v>46382</v>
      </c>
    </row>
    <row r="7" spans="1:6" x14ac:dyDescent="0.2">
      <c r="A7" s="2">
        <v>4</v>
      </c>
      <c r="B7" s="2" t="s">
        <v>57</v>
      </c>
      <c r="C7" s="2" t="s">
        <v>52</v>
      </c>
      <c r="D7" s="2">
        <v>60</v>
      </c>
      <c r="E7" s="4">
        <v>46384</v>
      </c>
      <c r="F7" s="4">
        <v>46387</v>
      </c>
    </row>
    <row r="8" spans="1:6" x14ac:dyDescent="0.2">
      <c r="A8" s="2">
        <v>5</v>
      </c>
      <c r="B8" s="2" t="s">
        <v>58</v>
      </c>
      <c r="C8" s="2" t="s">
        <v>52</v>
      </c>
      <c r="D8" s="2">
        <v>60</v>
      </c>
      <c r="E8" s="4">
        <v>46388</v>
      </c>
      <c r="F8" s="4">
        <v>46393</v>
      </c>
    </row>
    <row r="9" spans="1:6" x14ac:dyDescent="0.2">
      <c r="A9" s="2">
        <v>6</v>
      </c>
      <c r="B9" s="2" t="s">
        <v>84</v>
      </c>
      <c r="C9" s="2" t="s">
        <v>52</v>
      </c>
      <c r="D9" s="2">
        <v>80</v>
      </c>
      <c r="E9" s="4">
        <v>46398</v>
      </c>
      <c r="F9" s="4">
        <v>46438</v>
      </c>
    </row>
    <row r="10" spans="1:6" x14ac:dyDescent="0.2">
      <c r="A10" s="2">
        <v>7</v>
      </c>
      <c r="B10" s="2" t="s">
        <v>73</v>
      </c>
      <c r="C10" s="2" t="s">
        <v>55</v>
      </c>
      <c r="D10" s="2">
        <v>72</v>
      </c>
      <c r="E10" s="4">
        <v>46398</v>
      </c>
      <c r="F10" s="4">
        <v>46438</v>
      </c>
    </row>
    <row r="11" spans="1:6" x14ac:dyDescent="0.2">
      <c r="A11" s="2">
        <v>8</v>
      </c>
      <c r="B11" s="2" t="s">
        <v>74</v>
      </c>
      <c r="C11" s="2" t="s">
        <v>75</v>
      </c>
      <c r="D11" s="2">
        <v>5</v>
      </c>
      <c r="E11" s="4">
        <v>46398</v>
      </c>
      <c r="F11" s="4">
        <v>46438</v>
      </c>
    </row>
    <row r="12" spans="1:6" x14ac:dyDescent="0.2">
      <c r="A12" s="2">
        <v>9</v>
      </c>
      <c r="B12" s="2" t="s">
        <v>77</v>
      </c>
      <c r="C12" s="2" t="s">
        <v>55</v>
      </c>
      <c r="D12" s="2">
        <v>72</v>
      </c>
      <c r="E12" s="4">
        <v>46398</v>
      </c>
      <c r="F12" s="4">
        <v>46438</v>
      </c>
    </row>
    <row r="13" spans="1:6" x14ac:dyDescent="0.2">
      <c r="A13" s="2">
        <v>10</v>
      </c>
      <c r="B13" s="2" t="s">
        <v>96</v>
      </c>
      <c r="C13" s="2" t="s">
        <v>112</v>
      </c>
      <c r="D13" s="2">
        <v>200</v>
      </c>
      <c r="E13" s="4">
        <v>46419</v>
      </c>
      <c r="F13" s="4">
        <v>46442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F12"/>
  <sheetViews>
    <sheetView workbookViewId="0">
      <selection activeCell="F12" sqref="F12"/>
    </sheetView>
  </sheetViews>
  <sheetFormatPr baseColWidth="10" defaultColWidth="8.83203125" defaultRowHeight="15" x14ac:dyDescent="0.2"/>
  <cols>
    <col min="2" max="2" width="19.83203125" customWidth="1"/>
    <col min="5" max="5" width="11.1640625" bestFit="1" customWidth="1"/>
    <col min="6" max="6" width="11.5" bestFit="1" customWidth="1"/>
  </cols>
  <sheetData>
    <row r="1" spans="1:6" ht="38.25" customHeight="1" x14ac:dyDescent="0.2">
      <c r="A1" s="61" t="s">
        <v>113</v>
      </c>
      <c r="B1" s="61"/>
      <c r="C1" s="61"/>
      <c r="D1" s="61"/>
      <c r="E1" s="61"/>
      <c r="F1" s="61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5">
        <v>1</v>
      </c>
      <c r="B3" s="5" t="s">
        <v>114</v>
      </c>
      <c r="C3" s="5" t="s">
        <v>102</v>
      </c>
      <c r="D3" s="5">
        <v>150</v>
      </c>
      <c r="E3" s="7">
        <v>46300</v>
      </c>
      <c r="F3" s="7">
        <v>46305</v>
      </c>
    </row>
    <row r="4" spans="1:6" x14ac:dyDescent="0.2">
      <c r="A4" s="2">
        <v>1</v>
      </c>
      <c r="B4" s="2" t="s">
        <v>51</v>
      </c>
      <c r="C4" s="2" t="s">
        <v>52</v>
      </c>
      <c r="D4" s="2">
        <v>450</v>
      </c>
      <c r="E4" s="7">
        <v>46300</v>
      </c>
      <c r="F4" s="7">
        <v>46307</v>
      </c>
    </row>
    <row r="5" spans="1:6" x14ac:dyDescent="0.2">
      <c r="A5" s="2">
        <v>2</v>
      </c>
      <c r="B5" s="2" t="s">
        <v>53</v>
      </c>
      <c r="C5" s="2" t="s">
        <v>52</v>
      </c>
      <c r="D5" s="2">
        <v>450</v>
      </c>
      <c r="E5" s="7">
        <v>46300</v>
      </c>
      <c r="F5" s="7">
        <v>46307</v>
      </c>
    </row>
    <row r="6" spans="1:6" x14ac:dyDescent="0.2">
      <c r="A6" s="2">
        <v>3</v>
      </c>
      <c r="B6" s="2" t="s">
        <v>57</v>
      </c>
      <c r="C6" s="2" t="s">
        <v>52</v>
      </c>
      <c r="D6" s="2">
        <v>120</v>
      </c>
      <c r="E6" s="4">
        <v>46308</v>
      </c>
      <c r="F6" s="4">
        <v>46321</v>
      </c>
    </row>
    <row r="7" spans="1:6" x14ac:dyDescent="0.2">
      <c r="A7" s="2">
        <v>4</v>
      </c>
      <c r="B7" s="2" t="s">
        <v>90</v>
      </c>
      <c r="C7" s="2" t="s">
        <v>52</v>
      </c>
      <c r="D7" s="2">
        <v>120</v>
      </c>
      <c r="E7" s="4">
        <v>46323</v>
      </c>
      <c r="F7" s="4">
        <v>46336</v>
      </c>
    </row>
    <row r="8" spans="1:6" x14ac:dyDescent="0.2">
      <c r="A8" s="2">
        <v>5</v>
      </c>
      <c r="B8" s="2" t="s">
        <v>84</v>
      </c>
      <c r="C8" s="2" t="s">
        <v>52</v>
      </c>
      <c r="D8" s="2">
        <v>250</v>
      </c>
      <c r="E8" s="4">
        <v>46328</v>
      </c>
      <c r="F8" s="4">
        <v>46386</v>
      </c>
    </row>
    <row r="9" spans="1:6" x14ac:dyDescent="0.2">
      <c r="A9" s="2">
        <v>6</v>
      </c>
      <c r="B9" s="2" t="s">
        <v>73</v>
      </c>
      <c r="C9" s="2" t="s">
        <v>55</v>
      </c>
      <c r="D9" s="2">
        <v>220</v>
      </c>
      <c r="E9" s="4">
        <v>46328</v>
      </c>
      <c r="F9" s="4">
        <v>46386</v>
      </c>
    </row>
    <row r="10" spans="1:6" x14ac:dyDescent="0.2">
      <c r="A10" s="2">
        <v>7</v>
      </c>
      <c r="B10" s="2" t="s">
        <v>74</v>
      </c>
      <c r="C10" s="2" t="s">
        <v>75</v>
      </c>
      <c r="D10" s="2">
        <v>11</v>
      </c>
      <c r="E10" s="4">
        <v>46328</v>
      </c>
      <c r="F10" s="4">
        <v>46386</v>
      </c>
    </row>
    <row r="11" spans="1:6" x14ac:dyDescent="0.2">
      <c r="A11" s="2">
        <v>8</v>
      </c>
      <c r="B11" s="2" t="s">
        <v>77</v>
      </c>
      <c r="C11" s="2" t="s">
        <v>55</v>
      </c>
      <c r="D11" s="2">
        <v>200</v>
      </c>
      <c r="E11" s="4">
        <v>46328</v>
      </c>
      <c r="F11" s="4">
        <v>46386</v>
      </c>
    </row>
    <row r="12" spans="1:6" x14ac:dyDescent="0.2">
      <c r="A12" s="2">
        <v>9</v>
      </c>
      <c r="B12" s="2" t="s">
        <v>96</v>
      </c>
      <c r="C12" s="2" t="s">
        <v>63</v>
      </c>
      <c r="D12" s="2">
        <v>200</v>
      </c>
      <c r="E12" s="4">
        <v>46357</v>
      </c>
      <c r="F12" s="4">
        <v>46397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F10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22.5" customWidth="1"/>
    <col min="5" max="5" width="11.1640625" bestFit="1" customWidth="1"/>
    <col min="6" max="6" width="11.5" bestFit="1" customWidth="1"/>
  </cols>
  <sheetData>
    <row r="1" spans="1:6" ht="39" customHeight="1" x14ac:dyDescent="0.2">
      <c r="A1" s="62" t="s">
        <v>115</v>
      </c>
      <c r="B1" s="62"/>
      <c r="C1" s="62"/>
      <c r="D1" s="62"/>
      <c r="E1" s="62"/>
      <c r="F1" s="62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3000</v>
      </c>
      <c r="E3" s="4">
        <v>46492</v>
      </c>
      <c r="F3" s="4">
        <v>46568</v>
      </c>
    </row>
    <row r="4" spans="1:6" x14ac:dyDescent="0.2">
      <c r="A4" s="2">
        <v>2</v>
      </c>
      <c r="B4" s="2" t="s">
        <v>53</v>
      </c>
      <c r="C4" s="2" t="s">
        <v>52</v>
      </c>
      <c r="D4" s="2">
        <v>3000</v>
      </c>
      <c r="E4" s="4">
        <v>46492</v>
      </c>
      <c r="F4" s="4">
        <v>46568</v>
      </c>
    </row>
    <row r="5" spans="1:6" x14ac:dyDescent="0.2">
      <c r="A5" s="2">
        <v>3</v>
      </c>
      <c r="B5" s="2" t="s">
        <v>116</v>
      </c>
      <c r="C5" s="2" t="s">
        <v>117</v>
      </c>
      <c r="D5" s="2">
        <v>2800</v>
      </c>
      <c r="E5" s="4">
        <v>46537</v>
      </c>
      <c r="F5" s="4">
        <v>46571</v>
      </c>
    </row>
    <row r="6" spans="1:6" x14ac:dyDescent="0.2">
      <c r="A6" s="2">
        <v>3</v>
      </c>
      <c r="B6" s="2" t="s">
        <v>56</v>
      </c>
      <c r="C6" s="2" t="s">
        <v>52</v>
      </c>
      <c r="D6" s="2">
        <v>850</v>
      </c>
      <c r="E6" s="4">
        <v>46553</v>
      </c>
      <c r="F6" s="4">
        <v>46598</v>
      </c>
    </row>
    <row r="7" spans="1:6" x14ac:dyDescent="0.2">
      <c r="A7" s="2">
        <v>4</v>
      </c>
      <c r="B7" s="2" t="s">
        <v>57</v>
      </c>
      <c r="C7" s="2" t="s">
        <v>52</v>
      </c>
      <c r="D7" s="2">
        <v>450</v>
      </c>
      <c r="E7" s="4">
        <v>46588</v>
      </c>
      <c r="F7" s="4">
        <v>46609</v>
      </c>
    </row>
    <row r="8" spans="1:6" x14ac:dyDescent="0.2">
      <c r="A8" s="2">
        <v>5</v>
      </c>
      <c r="B8" s="2" t="s">
        <v>58</v>
      </c>
      <c r="C8" s="2" t="s">
        <v>52</v>
      </c>
      <c r="D8" s="2">
        <v>450</v>
      </c>
      <c r="E8" s="4">
        <v>46600</v>
      </c>
      <c r="F8" s="4">
        <v>46629</v>
      </c>
    </row>
    <row r="9" spans="1:6" x14ac:dyDescent="0.2">
      <c r="A9" s="2">
        <v>6</v>
      </c>
      <c r="B9" s="2" t="s">
        <v>61</v>
      </c>
      <c r="C9" s="2" t="s">
        <v>55</v>
      </c>
      <c r="D9" s="2">
        <v>2800</v>
      </c>
      <c r="E9" s="4">
        <v>46631</v>
      </c>
      <c r="F9" s="4">
        <v>46751</v>
      </c>
    </row>
    <row r="10" spans="1:6" x14ac:dyDescent="0.2">
      <c r="A10" s="2">
        <v>7</v>
      </c>
      <c r="B10" s="2" t="s">
        <v>105</v>
      </c>
      <c r="C10" s="2" t="s">
        <v>63</v>
      </c>
      <c r="D10" s="2">
        <v>750</v>
      </c>
      <c r="E10" s="4">
        <v>46706</v>
      </c>
      <c r="F10" s="4">
        <v>46767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G10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15.83203125" bestFit="1" customWidth="1"/>
    <col min="5" max="5" width="18.5" customWidth="1"/>
    <col min="6" max="6" width="11.5" bestFit="1" customWidth="1"/>
  </cols>
  <sheetData>
    <row r="1" spans="1:7" ht="38.25" customHeight="1" x14ac:dyDescent="0.2">
      <c r="A1" s="63" t="s">
        <v>118</v>
      </c>
      <c r="B1" s="64"/>
      <c r="C1" s="64"/>
      <c r="D1" s="64"/>
      <c r="E1" s="64"/>
      <c r="F1" s="64"/>
      <c r="G1" s="65"/>
    </row>
    <row r="2" spans="1:7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  <c r="G2" s="2"/>
    </row>
    <row r="3" spans="1:7" x14ac:dyDescent="0.2">
      <c r="A3" s="2">
        <v>1</v>
      </c>
      <c r="B3" s="2" t="s">
        <v>51</v>
      </c>
      <c r="C3" s="2" t="s">
        <v>52</v>
      </c>
      <c r="D3" s="2">
        <v>1800</v>
      </c>
      <c r="E3" s="4">
        <v>46296</v>
      </c>
      <c r="F3" s="4">
        <v>46325</v>
      </c>
      <c r="G3" s="2"/>
    </row>
    <row r="4" spans="1:7" x14ac:dyDescent="0.2">
      <c r="A4" s="2">
        <v>2</v>
      </c>
      <c r="B4" s="2" t="s">
        <v>53</v>
      </c>
      <c r="C4" s="2" t="s">
        <v>52</v>
      </c>
      <c r="D4" s="2">
        <v>1800</v>
      </c>
      <c r="E4" s="4">
        <v>46296</v>
      </c>
      <c r="F4" s="4">
        <v>46325</v>
      </c>
      <c r="G4" s="2"/>
    </row>
    <row r="5" spans="1:7" x14ac:dyDescent="0.2">
      <c r="A5" s="2">
        <v>3</v>
      </c>
      <c r="B5" s="2" t="s">
        <v>56</v>
      </c>
      <c r="C5" s="2" t="s">
        <v>52</v>
      </c>
      <c r="D5" s="2">
        <v>540</v>
      </c>
      <c r="E5" s="4">
        <v>46315</v>
      </c>
      <c r="F5" s="4">
        <v>46336</v>
      </c>
      <c r="G5" s="2"/>
    </row>
    <row r="6" spans="1:7" x14ac:dyDescent="0.2">
      <c r="A6" s="2">
        <v>4</v>
      </c>
      <c r="B6" s="2" t="s">
        <v>57</v>
      </c>
      <c r="C6" s="2" t="s">
        <v>52</v>
      </c>
      <c r="D6" s="2">
        <v>230</v>
      </c>
      <c r="E6" s="4">
        <v>46331</v>
      </c>
      <c r="F6" s="4">
        <v>46340</v>
      </c>
      <c r="G6" s="2"/>
    </row>
    <row r="7" spans="1:7" x14ac:dyDescent="0.2">
      <c r="A7" s="2">
        <v>5</v>
      </c>
      <c r="B7" s="2" t="s">
        <v>58</v>
      </c>
      <c r="C7" s="2" t="s">
        <v>52</v>
      </c>
      <c r="D7" s="2">
        <v>230</v>
      </c>
      <c r="E7" s="4">
        <v>46342</v>
      </c>
      <c r="F7" s="4">
        <v>46356</v>
      </c>
      <c r="G7" s="2"/>
    </row>
    <row r="8" spans="1:7" x14ac:dyDescent="0.2">
      <c r="A8" s="2">
        <v>6</v>
      </c>
      <c r="B8" s="2" t="s">
        <v>59</v>
      </c>
      <c r="C8" s="2" t="s">
        <v>60</v>
      </c>
      <c r="D8" s="2">
        <v>120</v>
      </c>
      <c r="E8" s="4">
        <v>46300</v>
      </c>
      <c r="F8" s="4">
        <v>46356</v>
      </c>
      <c r="G8" s="2"/>
    </row>
    <row r="9" spans="1:7" x14ac:dyDescent="0.2">
      <c r="A9" s="2">
        <v>7</v>
      </c>
      <c r="B9" s="2" t="s">
        <v>61</v>
      </c>
      <c r="C9" s="2" t="s">
        <v>55</v>
      </c>
      <c r="D9" s="2">
        <v>1540</v>
      </c>
      <c r="E9" s="4">
        <v>46363</v>
      </c>
      <c r="F9" s="4">
        <v>46445</v>
      </c>
      <c r="G9" s="2"/>
    </row>
    <row r="10" spans="1:7" x14ac:dyDescent="0.2">
      <c r="A10" s="2">
        <v>8</v>
      </c>
      <c r="B10" s="2" t="s">
        <v>62</v>
      </c>
      <c r="C10" s="2" t="s">
        <v>63</v>
      </c>
      <c r="D10" s="2">
        <v>220</v>
      </c>
      <c r="E10" s="4">
        <v>46356</v>
      </c>
      <c r="F10" s="4">
        <v>46402</v>
      </c>
      <c r="G10" s="2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F14"/>
  <sheetViews>
    <sheetView workbookViewId="0">
      <selection activeCell="B15" sqref="B15"/>
    </sheetView>
  </sheetViews>
  <sheetFormatPr baseColWidth="10" defaultColWidth="8.83203125" defaultRowHeight="15" x14ac:dyDescent="0.2"/>
  <cols>
    <col min="2" max="2" width="20.83203125" customWidth="1"/>
    <col min="5" max="5" width="11.1640625" bestFit="1" customWidth="1"/>
    <col min="6" max="6" width="20.5" customWidth="1"/>
  </cols>
  <sheetData>
    <row r="1" spans="1:6" ht="36" customHeight="1" x14ac:dyDescent="0.2">
      <c r="A1" s="66" t="s">
        <v>119</v>
      </c>
      <c r="B1" s="67"/>
      <c r="C1" s="67"/>
      <c r="D1" s="67"/>
      <c r="E1" s="67"/>
      <c r="F1" s="67"/>
    </row>
    <row r="2" spans="1:6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11</v>
      </c>
    </row>
    <row r="3" spans="1:6" x14ac:dyDescent="0.2">
      <c r="A3" s="2">
        <v>1</v>
      </c>
      <c r="B3" s="2" t="s">
        <v>51</v>
      </c>
      <c r="C3" s="2" t="s">
        <v>52</v>
      </c>
      <c r="D3" s="2">
        <v>1450</v>
      </c>
      <c r="E3" s="16">
        <v>46310</v>
      </c>
      <c r="F3" s="16">
        <v>46351</v>
      </c>
    </row>
    <row r="4" spans="1:6" x14ac:dyDescent="0.2">
      <c r="A4" s="2">
        <v>2</v>
      </c>
      <c r="B4" s="2" t="s">
        <v>53</v>
      </c>
      <c r="C4" s="2" t="s">
        <v>52</v>
      </c>
      <c r="D4" s="2">
        <v>1450</v>
      </c>
      <c r="E4" s="16">
        <v>46310</v>
      </c>
      <c r="F4" s="16">
        <v>46351</v>
      </c>
    </row>
    <row r="5" spans="1:6" x14ac:dyDescent="0.2">
      <c r="A5" s="2">
        <v>3</v>
      </c>
      <c r="B5" s="2" t="s">
        <v>116</v>
      </c>
      <c r="C5" s="2" t="s">
        <v>117</v>
      </c>
      <c r="D5" s="2">
        <v>1085</v>
      </c>
      <c r="E5" s="16">
        <v>46346</v>
      </c>
      <c r="F5" s="16">
        <v>46356</v>
      </c>
    </row>
    <row r="6" spans="1:6" x14ac:dyDescent="0.2">
      <c r="A6" s="2">
        <v>3</v>
      </c>
      <c r="B6" s="2" t="s">
        <v>56</v>
      </c>
      <c r="C6" s="2" t="s">
        <v>52</v>
      </c>
      <c r="D6" s="2">
        <v>350</v>
      </c>
      <c r="E6" s="16">
        <v>46351</v>
      </c>
      <c r="F6" s="16">
        <v>46376</v>
      </c>
    </row>
    <row r="7" spans="1:6" x14ac:dyDescent="0.2">
      <c r="A7" s="2">
        <v>4</v>
      </c>
      <c r="B7" s="2" t="s">
        <v>57</v>
      </c>
      <c r="C7" s="2" t="s">
        <v>52</v>
      </c>
      <c r="D7" s="2">
        <v>165</v>
      </c>
      <c r="E7" s="16">
        <v>46366</v>
      </c>
      <c r="F7" s="16">
        <v>46397</v>
      </c>
    </row>
    <row r="8" spans="1:6" x14ac:dyDescent="0.2">
      <c r="A8" s="2">
        <v>5</v>
      </c>
      <c r="B8" s="2" t="s">
        <v>58</v>
      </c>
      <c r="C8" s="2" t="s">
        <v>52</v>
      </c>
      <c r="D8" s="2">
        <v>165</v>
      </c>
      <c r="E8" s="16">
        <v>46381</v>
      </c>
      <c r="F8" s="16">
        <v>46417</v>
      </c>
    </row>
    <row r="9" spans="1:6" x14ac:dyDescent="0.2">
      <c r="A9" s="2">
        <v>6</v>
      </c>
      <c r="B9" s="2" t="s">
        <v>84</v>
      </c>
      <c r="C9" s="2" t="s">
        <v>52</v>
      </c>
      <c r="D9" s="2">
        <v>250</v>
      </c>
      <c r="E9" s="16">
        <v>46024</v>
      </c>
      <c r="F9" s="16">
        <v>46507</v>
      </c>
    </row>
    <row r="10" spans="1:6" x14ac:dyDescent="0.2">
      <c r="A10" s="2">
        <v>6</v>
      </c>
      <c r="B10" s="2" t="s">
        <v>73</v>
      </c>
      <c r="C10" s="2" t="s">
        <v>55</v>
      </c>
      <c r="D10" s="2">
        <v>400</v>
      </c>
      <c r="E10" s="16">
        <v>46024</v>
      </c>
      <c r="F10" s="16">
        <v>46507</v>
      </c>
    </row>
    <row r="11" spans="1:6" x14ac:dyDescent="0.2">
      <c r="A11" s="2">
        <v>7</v>
      </c>
      <c r="B11" s="2" t="s">
        <v>120</v>
      </c>
      <c r="C11" s="2" t="s">
        <v>75</v>
      </c>
      <c r="D11" s="2">
        <v>14</v>
      </c>
      <c r="E11" s="16">
        <v>46024</v>
      </c>
      <c r="F11" s="16">
        <v>46507</v>
      </c>
    </row>
    <row r="12" spans="1:6" x14ac:dyDescent="0.2">
      <c r="A12" s="2">
        <v>8</v>
      </c>
      <c r="B12" s="2" t="s">
        <v>121</v>
      </c>
      <c r="C12" s="2" t="s">
        <v>75</v>
      </c>
      <c r="D12" s="2">
        <v>0.5</v>
      </c>
      <c r="E12" s="16">
        <v>46024</v>
      </c>
      <c r="F12" s="16">
        <v>46507</v>
      </c>
    </row>
    <row r="13" spans="1:6" x14ac:dyDescent="0.2">
      <c r="A13" s="2">
        <v>9</v>
      </c>
      <c r="B13" s="2" t="s">
        <v>77</v>
      </c>
      <c r="C13" s="2" t="s">
        <v>111</v>
      </c>
      <c r="D13" s="2">
        <v>185</v>
      </c>
      <c r="E13" s="16">
        <v>46024</v>
      </c>
      <c r="F13" s="16">
        <v>46507</v>
      </c>
    </row>
    <row r="14" spans="1:6" x14ac:dyDescent="0.2">
      <c r="A14" s="2">
        <v>10</v>
      </c>
      <c r="B14" s="2" t="s">
        <v>105</v>
      </c>
      <c r="C14" s="2" t="s">
        <v>63</v>
      </c>
      <c r="D14" s="2">
        <v>260</v>
      </c>
      <c r="E14" s="16">
        <v>46024</v>
      </c>
      <c r="F14" s="16">
        <v>46507</v>
      </c>
    </row>
  </sheetData>
  <mergeCells count="1">
    <mergeCell ref="A1:F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Phase- Summary</vt:lpstr>
      <vt:lpstr>Road 1 - IBMD Sarpa MRP Interna</vt:lpstr>
      <vt:lpstr>Road 2 - PSW Approach Roads</vt:lpstr>
      <vt:lpstr>Road 3 - SMS2 Ramp Side</vt:lpstr>
      <vt:lpstr>Road 4 - SMS2 Briquetting Side</vt:lpstr>
      <vt:lpstr>Road 5 - RMPP Emer Feeding area</vt:lpstr>
      <vt:lpstr>Road 6 - RMPP Emergency Feeding</vt:lpstr>
      <vt:lpstr>Road 7 - RMPP Coal Shed-2</vt:lpstr>
      <vt:lpstr>Road 8 - RMHS Coking Coal Yard</vt:lpstr>
      <vt:lpstr>Road 9 - BF2 Ramp Area</vt:lpstr>
      <vt:lpstr>Road 10 - BF2 Bin Building</vt:lpstr>
      <vt:lpstr>Road 11 - CMM SMS1 Assembly</vt:lpstr>
      <vt:lpstr>Road 12 - CMM SMS1 Machine Shop</vt:lpstr>
      <vt:lpstr>Road 13 - Torpedo Rail Track</vt:lpstr>
      <vt:lpstr>Road 14 - HSM Gate16</vt:lpstr>
      <vt:lpstr>Road 15 - RMPP Rail Siding</vt:lpstr>
      <vt:lpstr>Road 16 - Sales Yard MRP</vt:lpstr>
      <vt:lpstr>Road 17 - Slag Yard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Sanjaya Kumar Rath</dc:creator>
  <cp:keywords/>
  <dc:description/>
  <cp:lastModifiedBy>Sandeep Kumar Panda</cp:lastModifiedBy>
  <cp:revision/>
  <dcterms:created xsi:type="dcterms:W3CDTF">2026-10-01T06:01:54Z</dcterms:created>
  <dcterms:modified xsi:type="dcterms:W3CDTF">2026-10-09T13:50:49Z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2026-10-01T06:01:54Z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0098f84e-13a5-4dc2-a624-f366ab3aad3d</vt:lpwstr>
  </property>
  <property fmtid="{D5CDD505-2E9C-101B-9397-08002B2CF9AE}" pid="8" name="MSIP_Label_2f50afb6-ab6e-4e8b-96b5-6e00ab52e29e_ContentBits">
    <vt:lpwstr>0</vt:lpwstr>
  </property>
</Properties>
</file>